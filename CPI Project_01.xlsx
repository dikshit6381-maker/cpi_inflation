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78ba310a3b35d/Desktop/Projects/New folder/"/>
    </mc:Choice>
  </mc:AlternateContent>
  <xr:revisionPtr revIDLastSave="0" documentId="8_{DB38420B-93DF-4F25-BED3-242211E52682}" xr6:coauthVersionLast="47" xr6:coauthVersionMax="47" xr10:uidLastSave="{00000000-0000-0000-0000-000000000000}"/>
  <bookViews>
    <workbookView xWindow="-108" yWindow="-108" windowWidth="23256" windowHeight="12456" firstSheet="6" activeTab="9" xr2:uid="{B54B216D-6DBB-452D-B585-BFFE760A93E5}"/>
  </bookViews>
  <sheets>
    <sheet name="CPI TILL 2023" sheetId="1" r:id="rId1"/>
    <sheet name="Clean_Data" sheetId="3" r:id="rId2"/>
    <sheet name="Analysis" sheetId="4" r:id="rId3"/>
    <sheet name="Inflation" sheetId="7" r:id="rId4"/>
    <sheet name="2022-2023" sheetId="8" r:id="rId5"/>
    <sheet name="COVID-19" sheetId="12" r:id="rId6"/>
    <sheet name="Oil Prize" sheetId="14" r:id="rId7"/>
    <sheet name="Brent Oil Futures Historical Da" sheetId="15" r:id="rId8"/>
    <sheet name="Correl" sheetId="16" r:id="rId9"/>
    <sheet name="Charts" sheetId="5" r:id="rId10"/>
    <sheet name="NA_Values" sheetId="2" r:id="rId11"/>
  </sheets>
  <definedNames>
    <definedName name="_xlcn.WorksheetConnection_CPIProject_01.xlsxTable51" hidden="1">Table5[]</definedName>
    <definedName name="ExternalData_1" localSheetId="1" hidden="1">Clean_Data!$A$1:$AD$373</definedName>
    <definedName name="Table5_1" localSheetId="7" hidden="1">'Brent Oil Futures Historical Da'!#REF!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PI Project_01.xlsx!Table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3" l="1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" i="15"/>
  <c r="K2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J2" i="16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I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L3" i="14"/>
  <c r="L4" i="14"/>
  <c r="L5" i="14"/>
  <c r="L6" i="14"/>
  <c r="L7" i="14"/>
  <c r="L8" i="14"/>
  <c r="L9" i="14"/>
  <c r="M9" i="14" s="1"/>
  <c r="L10" i="14"/>
  <c r="L11" i="14"/>
  <c r="L12" i="14"/>
  <c r="M12" i="14" s="1"/>
  <c r="L13" i="14"/>
  <c r="L14" i="14"/>
  <c r="L15" i="14"/>
  <c r="L16" i="14"/>
  <c r="L17" i="14"/>
  <c r="M17" i="14" s="1"/>
  <c r="L18" i="14"/>
  <c r="L19" i="14"/>
  <c r="L20" i="14"/>
  <c r="M20" i="14" s="1"/>
  <c r="L21" i="14"/>
  <c r="L22" i="14"/>
  <c r="L23" i="14"/>
  <c r="L24" i="14"/>
  <c r="L25" i="14"/>
  <c r="M25" i="14" s="1"/>
  <c r="L26" i="14"/>
  <c r="L27" i="14"/>
  <c r="L28" i="14"/>
  <c r="M28" i="14" s="1"/>
  <c r="L29" i="14"/>
  <c r="L30" i="14"/>
  <c r="M30" i="14" s="1"/>
  <c r="L2" i="14"/>
  <c r="J3" i="14"/>
  <c r="AF3" i="14" s="1"/>
  <c r="J4" i="14"/>
  <c r="K4" i="14" s="1"/>
  <c r="J5" i="14"/>
  <c r="J6" i="14"/>
  <c r="AF6" i="14" s="1"/>
  <c r="J7" i="14"/>
  <c r="AF7" i="14" s="1"/>
  <c r="J8" i="14"/>
  <c r="J9" i="14"/>
  <c r="AF9" i="14" s="1"/>
  <c r="J10" i="14"/>
  <c r="AF10" i="14" s="1"/>
  <c r="J11" i="14"/>
  <c r="AF11" i="14" s="1"/>
  <c r="J12" i="14"/>
  <c r="K12" i="14" s="1"/>
  <c r="J13" i="14"/>
  <c r="J14" i="14"/>
  <c r="AF18" i="14" s="1"/>
  <c r="J15" i="14"/>
  <c r="AF19" i="14" s="1"/>
  <c r="J16" i="14"/>
  <c r="AF20" i="14" s="1"/>
  <c r="J17" i="14"/>
  <c r="AF21" i="14" s="1"/>
  <c r="J18" i="14"/>
  <c r="AF22" i="14" s="1"/>
  <c r="J19" i="14"/>
  <c r="AF23" i="14" s="1"/>
  <c r="J20" i="14"/>
  <c r="K20" i="14" s="1"/>
  <c r="J21" i="14"/>
  <c r="AF25" i="14" s="1"/>
  <c r="J22" i="14"/>
  <c r="AF26" i="14" s="1"/>
  <c r="J23" i="14"/>
  <c r="AF27" i="14" s="1"/>
  <c r="J24" i="14"/>
  <c r="J25" i="14"/>
  <c r="AF29" i="14" s="1"/>
  <c r="J26" i="14"/>
  <c r="J27" i="14"/>
  <c r="J28" i="14"/>
  <c r="K28" i="14" s="1"/>
  <c r="J29" i="14"/>
  <c r="AP6" i="14" s="1"/>
  <c r="J30" i="14"/>
  <c r="AP7" i="14" s="1"/>
  <c r="J2" i="14"/>
  <c r="I4" i="14"/>
  <c r="AE4" i="14" s="1"/>
  <c r="I5" i="14"/>
  <c r="AE5" i="14" s="1"/>
  <c r="I6" i="14"/>
  <c r="AE6" i="14" s="1"/>
  <c r="I7" i="14"/>
  <c r="AE7" i="14" s="1"/>
  <c r="I8" i="14"/>
  <c r="AE8" i="14" s="1"/>
  <c r="I9" i="14"/>
  <c r="AE9" i="14" s="1"/>
  <c r="I10" i="14"/>
  <c r="AE10" i="14" s="1"/>
  <c r="I11" i="14"/>
  <c r="AE11" i="14" s="1"/>
  <c r="I12" i="14"/>
  <c r="AE12" i="14" s="1"/>
  <c r="I13" i="14"/>
  <c r="AE13" i="14" s="1"/>
  <c r="I14" i="14"/>
  <c r="AE18" i="14" s="1"/>
  <c r="I15" i="14"/>
  <c r="AE19" i="14" s="1"/>
  <c r="I16" i="14"/>
  <c r="AE20" i="14" s="1"/>
  <c r="I17" i="14"/>
  <c r="AE21" i="14" s="1"/>
  <c r="I18" i="14"/>
  <c r="AE22" i="14" s="1"/>
  <c r="I19" i="14"/>
  <c r="AE23" i="14" s="1"/>
  <c r="I20" i="14"/>
  <c r="AE24" i="14" s="1"/>
  <c r="I21" i="14"/>
  <c r="AE25" i="14" s="1"/>
  <c r="I22" i="14"/>
  <c r="AE26" i="14" s="1"/>
  <c r="I23" i="14"/>
  <c r="AE27" i="14" s="1"/>
  <c r="I24" i="14"/>
  <c r="AE28" i="14" s="1"/>
  <c r="I25" i="14"/>
  <c r="AE29" i="14" s="1"/>
  <c r="I26" i="14"/>
  <c r="AO3" i="14" s="1"/>
  <c r="I27" i="14"/>
  <c r="AO4" i="14" s="1"/>
  <c r="I28" i="14"/>
  <c r="AO5" i="14" s="1"/>
  <c r="I29" i="14"/>
  <c r="AO6" i="14" s="1"/>
  <c r="I30" i="14"/>
  <c r="AO7" i="14" s="1"/>
  <c r="I3" i="14"/>
  <c r="AE3" i="14" s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" i="14"/>
  <c r="G4" i="14"/>
  <c r="AD4" i="14" s="1"/>
  <c r="G5" i="14"/>
  <c r="AD5" i="14" s="1"/>
  <c r="G6" i="14"/>
  <c r="AD6" i="14" s="1"/>
  <c r="G7" i="14"/>
  <c r="AD7" i="14" s="1"/>
  <c r="G8" i="14"/>
  <c r="AD8" i="14" s="1"/>
  <c r="G9" i="14"/>
  <c r="AD9" i="14" s="1"/>
  <c r="G10" i="14"/>
  <c r="AD10" i="14" s="1"/>
  <c r="G11" i="14"/>
  <c r="AD11" i="14" s="1"/>
  <c r="G12" i="14"/>
  <c r="AD12" i="14" s="1"/>
  <c r="G13" i="14"/>
  <c r="AD13" i="14" s="1"/>
  <c r="G14" i="14"/>
  <c r="AD18" i="14" s="1"/>
  <c r="G15" i="14"/>
  <c r="AD19" i="14" s="1"/>
  <c r="G16" i="14"/>
  <c r="AD20" i="14" s="1"/>
  <c r="G17" i="14"/>
  <c r="AD21" i="14" s="1"/>
  <c r="G18" i="14"/>
  <c r="AD22" i="14" s="1"/>
  <c r="G19" i="14"/>
  <c r="AD23" i="14" s="1"/>
  <c r="G20" i="14"/>
  <c r="AD24" i="14" s="1"/>
  <c r="G21" i="14"/>
  <c r="AD25" i="14" s="1"/>
  <c r="G22" i="14"/>
  <c r="AD26" i="14" s="1"/>
  <c r="G23" i="14"/>
  <c r="AD27" i="14" s="1"/>
  <c r="G24" i="14"/>
  <c r="AD28" i="14" s="1"/>
  <c r="G25" i="14"/>
  <c r="AD29" i="14" s="1"/>
  <c r="G26" i="14"/>
  <c r="AN3" i="14" s="1"/>
  <c r="G27" i="14"/>
  <c r="AN4" i="14" s="1"/>
  <c r="G28" i="14"/>
  <c r="G29" i="14"/>
  <c r="AN6" i="14" s="1"/>
  <c r="G30" i="14"/>
  <c r="G3" i="14"/>
  <c r="AD3" i="14" s="1"/>
  <c r="AL3" i="14"/>
  <c r="AM3" i="14"/>
  <c r="AP3" i="14"/>
  <c r="AL4" i="14"/>
  <c r="AM4" i="14"/>
  <c r="AP4" i="14"/>
  <c r="AL5" i="14"/>
  <c r="AM5" i="14"/>
  <c r="AN5" i="14"/>
  <c r="AL6" i="14"/>
  <c r="AM6" i="14"/>
  <c r="AL7" i="14"/>
  <c r="AM7" i="14"/>
  <c r="AN7" i="14"/>
  <c r="AL8" i="14"/>
  <c r="AM8" i="14"/>
  <c r="AN8" i="14"/>
  <c r="AO8" i="14"/>
  <c r="AP8" i="14"/>
  <c r="AL9" i="14"/>
  <c r="AM9" i="14"/>
  <c r="AN9" i="14"/>
  <c r="AO9" i="14"/>
  <c r="AP9" i="14"/>
  <c r="AL10" i="14"/>
  <c r="AM10" i="14"/>
  <c r="AN10" i="14"/>
  <c r="AO10" i="14"/>
  <c r="AP10" i="14"/>
  <c r="AL11" i="14"/>
  <c r="AM11" i="14"/>
  <c r="AN11" i="14"/>
  <c r="AO11" i="14"/>
  <c r="AP11" i="14"/>
  <c r="AL12" i="14"/>
  <c r="AM12" i="14"/>
  <c r="AN12" i="14"/>
  <c r="AO12" i="14"/>
  <c r="AP12" i="14"/>
  <c r="AL13" i="14"/>
  <c r="AM13" i="14"/>
  <c r="AN13" i="14"/>
  <c r="AO13" i="14"/>
  <c r="AP13" i="14"/>
  <c r="AL14" i="14"/>
  <c r="AM14" i="14"/>
  <c r="AN14" i="14"/>
  <c r="AO14" i="14"/>
  <c r="AP14" i="14"/>
  <c r="AK4" i="14"/>
  <c r="AK5" i="14"/>
  <c r="AK6" i="14"/>
  <c r="AK7" i="14"/>
  <c r="AK8" i="14"/>
  <c r="AK9" i="14"/>
  <c r="AK10" i="14"/>
  <c r="AK11" i="14"/>
  <c r="AK12" i="14"/>
  <c r="AK13" i="14"/>
  <c r="AK14" i="14"/>
  <c r="AK3" i="14"/>
  <c r="AB18" i="14"/>
  <c r="AC18" i="14"/>
  <c r="AB19" i="14"/>
  <c r="AC19" i="14"/>
  <c r="AB20" i="14"/>
  <c r="AC20" i="14"/>
  <c r="AB21" i="14"/>
  <c r="AC21" i="14"/>
  <c r="AB22" i="14"/>
  <c r="AC22" i="14"/>
  <c r="AB23" i="14"/>
  <c r="AC23" i="14"/>
  <c r="AB24" i="14"/>
  <c r="AC24" i="14"/>
  <c r="AB25" i="14"/>
  <c r="AC25" i="14"/>
  <c r="AB26" i="14"/>
  <c r="AC26" i="14"/>
  <c r="AB27" i="14"/>
  <c r="AC27" i="14"/>
  <c r="AB28" i="14"/>
  <c r="AC28" i="14"/>
  <c r="AB29" i="14"/>
  <c r="AC29" i="14"/>
  <c r="AA19" i="14"/>
  <c r="AA20" i="14"/>
  <c r="AA21" i="14"/>
  <c r="AA22" i="14"/>
  <c r="AA23" i="14"/>
  <c r="AA24" i="14"/>
  <c r="AA25" i="14"/>
  <c r="AA26" i="14"/>
  <c r="AA27" i="14"/>
  <c r="AA28" i="14"/>
  <c r="AA29" i="14"/>
  <c r="AA18" i="14"/>
  <c r="AA3" i="14"/>
  <c r="AB3" i="14"/>
  <c r="AC3" i="14"/>
  <c r="AA4" i="14"/>
  <c r="AB4" i="14"/>
  <c r="AC4" i="14"/>
  <c r="AA5" i="14"/>
  <c r="AB5" i="14"/>
  <c r="AC5" i="14"/>
  <c r="AA6" i="14"/>
  <c r="AB6" i="14"/>
  <c r="AC6" i="14"/>
  <c r="AA7" i="14"/>
  <c r="AB7" i="14"/>
  <c r="AC7" i="14"/>
  <c r="AA8" i="14"/>
  <c r="AB8" i="14"/>
  <c r="AC8" i="14"/>
  <c r="AA9" i="14"/>
  <c r="AB9" i="14"/>
  <c r="AC9" i="14"/>
  <c r="AA10" i="14"/>
  <c r="AB10" i="14"/>
  <c r="AC10" i="14"/>
  <c r="AA11" i="14"/>
  <c r="AB11" i="14"/>
  <c r="AC11" i="14"/>
  <c r="AA12" i="14"/>
  <c r="AB12" i="14"/>
  <c r="AC12" i="14"/>
  <c r="AA13" i="14"/>
  <c r="AB13" i="14"/>
  <c r="AC13" i="14"/>
  <c r="AB2" i="14"/>
  <c r="AC2" i="14"/>
  <c r="AD2" i="14"/>
  <c r="AE2" i="14"/>
  <c r="AA2" i="14"/>
  <c r="AF4" i="12"/>
  <c r="AF5" i="12"/>
  <c r="AF6" i="12"/>
  <c r="AF7" i="12"/>
  <c r="AF3" i="12"/>
  <c r="AA15" i="12"/>
  <c r="AA14" i="12"/>
  <c r="AA13" i="12"/>
  <c r="AA12" i="12"/>
  <c r="AA11" i="12"/>
  <c r="AA7" i="12"/>
  <c r="AA6" i="12"/>
  <c r="AA5" i="12"/>
  <c r="AA4" i="12"/>
  <c r="AA3" i="12"/>
  <c r="P22" i="12"/>
  <c r="Q22" i="12"/>
  <c r="R22" i="12"/>
  <c r="S22" i="12"/>
  <c r="P23" i="12"/>
  <c r="Q23" i="12"/>
  <c r="R23" i="12"/>
  <c r="S23" i="12"/>
  <c r="P24" i="12"/>
  <c r="Q24" i="12"/>
  <c r="R24" i="12"/>
  <c r="S24" i="12"/>
  <c r="P25" i="12"/>
  <c r="Q25" i="12"/>
  <c r="R25" i="12"/>
  <c r="S25" i="12"/>
  <c r="P26" i="12"/>
  <c r="Q26" i="12"/>
  <c r="R26" i="12"/>
  <c r="S26" i="12"/>
  <c r="P27" i="12"/>
  <c r="Q27" i="12"/>
  <c r="R27" i="12"/>
  <c r="S27" i="12"/>
  <c r="P28" i="12"/>
  <c r="Q28" i="12"/>
  <c r="R28" i="12"/>
  <c r="S28" i="12"/>
  <c r="P29" i="12"/>
  <c r="Q29" i="12"/>
  <c r="R29" i="12"/>
  <c r="S29" i="12"/>
  <c r="P30" i="12"/>
  <c r="Q30" i="12"/>
  <c r="R30" i="12"/>
  <c r="S30" i="12"/>
  <c r="P31" i="12"/>
  <c r="Q31" i="12"/>
  <c r="R31" i="12"/>
  <c r="S31" i="12"/>
  <c r="P32" i="12"/>
  <c r="Q32" i="12"/>
  <c r="R32" i="12"/>
  <c r="S32" i="12"/>
  <c r="P33" i="12"/>
  <c r="Q33" i="12"/>
  <c r="R33" i="12"/>
  <c r="S33" i="12"/>
  <c r="P34" i="12"/>
  <c r="Q34" i="12"/>
  <c r="R34" i="12"/>
  <c r="S34" i="12"/>
  <c r="P35" i="12"/>
  <c r="Q35" i="12"/>
  <c r="R35" i="12"/>
  <c r="S35" i="12"/>
  <c r="P36" i="12"/>
  <c r="Q36" i="12"/>
  <c r="R36" i="12"/>
  <c r="S36" i="12"/>
  <c r="P37" i="12"/>
  <c r="Q37" i="12"/>
  <c r="R37" i="12"/>
  <c r="S37" i="12"/>
  <c r="P38" i="12"/>
  <c r="Q38" i="12"/>
  <c r="R38" i="12"/>
  <c r="S38" i="12"/>
  <c r="P39" i="12"/>
  <c r="Q39" i="12"/>
  <c r="R39" i="12"/>
  <c r="W40" i="12" s="1"/>
  <c r="S39" i="12"/>
  <c r="P40" i="12"/>
  <c r="Q40" i="12"/>
  <c r="R40" i="12"/>
  <c r="S40" i="12"/>
  <c r="P41" i="12"/>
  <c r="Q41" i="12"/>
  <c r="R41" i="12"/>
  <c r="S41" i="12"/>
  <c r="P42" i="12"/>
  <c r="Q42" i="12"/>
  <c r="R42" i="12"/>
  <c r="S42" i="12"/>
  <c r="P43" i="12"/>
  <c r="Q43" i="12"/>
  <c r="R43" i="12"/>
  <c r="S43" i="12"/>
  <c r="O23" i="12"/>
  <c r="O24" i="12"/>
  <c r="O25" i="12"/>
  <c r="O26" i="12"/>
  <c r="O27" i="12"/>
  <c r="O28" i="12"/>
  <c r="O29" i="12"/>
  <c r="O30" i="12"/>
  <c r="T30" i="12" s="1"/>
  <c r="O31" i="12"/>
  <c r="O32" i="12"/>
  <c r="O33" i="12"/>
  <c r="O34" i="12"/>
  <c r="O35" i="12"/>
  <c r="O36" i="12"/>
  <c r="O37" i="12"/>
  <c r="O38" i="12"/>
  <c r="T38" i="12" s="1"/>
  <c r="O39" i="12"/>
  <c r="O40" i="12"/>
  <c r="O41" i="12"/>
  <c r="O42" i="12"/>
  <c r="O43" i="12"/>
  <c r="O22" i="12"/>
  <c r="O3" i="12"/>
  <c r="S3" i="12"/>
  <c r="P3" i="12"/>
  <c r="Q3" i="12"/>
  <c r="R3" i="12"/>
  <c r="P4" i="12"/>
  <c r="Q4" i="12"/>
  <c r="R4" i="12"/>
  <c r="W4" i="12" s="1"/>
  <c r="S4" i="12"/>
  <c r="P5" i="12"/>
  <c r="Q5" i="12"/>
  <c r="R5" i="12"/>
  <c r="S5" i="12"/>
  <c r="P6" i="12"/>
  <c r="Q6" i="12"/>
  <c r="R6" i="12"/>
  <c r="S6" i="12"/>
  <c r="P7" i="12"/>
  <c r="Q7" i="12"/>
  <c r="R7" i="12"/>
  <c r="S7" i="12"/>
  <c r="P8" i="12"/>
  <c r="Q8" i="12"/>
  <c r="R8" i="12"/>
  <c r="S8" i="12"/>
  <c r="P9" i="12"/>
  <c r="Q9" i="12"/>
  <c r="R9" i="12"/>
  <c r="S9" i="12"/>
  <c r="P10" i="12"/>
  <c r="Q10" i="12"/>
  <c r="R10" i="12"/>
  <c r="S10" i="12"/>
  <c r="P11" i="12"/>
  <c r="Q11" i="12"/>
  <c r="R11" i="12"/>
  <c r="S11" i="12"/>
  <c r="P12" i="12"/>
  <c r="Q12" i="12"/>
  <c r="R12" i="12"/>
  <c r="S12" i="12"/>
  <c r="P13" i="12"/>
  <c r="Q13" i="12"/>
  <c r="R13" i="12"/>
  <c r="S13" i="12"/>
  <c r="O4" i="12"/>
  <c r="O5" i="12"/>
  <c r="O6" i="12"/>
  <c r="O7" i="12"/>
  <c r="O8" i="12"/>
  <c r="T8" i="12" s="1"/>
  <c r="O9" i="12"/>
  <c r="O10" i="12"/>
  <c r="O11" i="12"/>
  <c r="O12" i="12"/>
  <c r="O13" i="12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AA53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Y38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Y21" i="8"/>
  <c r="Q2" i="8"/>
  <c r="Q3" i="8"/>
  <c r="Q4" i="8"/>
  <c r="X4" i="8" s="1"/>
  <c r="Q5" i="8"/>
  <c r="Q6" i="8"/>
  <c r="Q7" i="8"/>
  <c r="X5" i="8" s="1"/>
  <c r="Q8" i="8"/>
  <c r="Q9" i="8"/>
  <c r="Q10" i="8"/>
  <c r="X6" i="8" s="1"/>
  <c r="Q11" i="8"/>
  <c r="Q12" i="8"/>
  <c r="Q13" i="8"/>
  <c r="X7" i="8" s="1"/>
  <c r="Q14" i="8"/>
  <c r="Q15" i="8"/>
  <c r="Q16" i="8"/>
  <c r="X8" i="8" s="1"/>
  <c r="Q17" i="8"/>
  <c r="Q18" i="8"/>
  <c r="Q19" i="8"/>
  <c r="X9" i="8" s="1"/>
  <c r="Q20" i="8"/>
  <c r="Q21" i="8"/>
  <c r="Q22" i="8"/>
  <c r="X10" i="8" s="1"/>
  <c r="Q23" i="8"/>
  <c r="Q24" i="8"/>
  <c r="Q25" i="8"/>
  <c r="X11" i="8" s="1"/>
  <c r="Q26" i="8"/>
  <c r="Q27" i="8"/>
  <c r="Q28" i="8"/>
  <c r="X12" i="8" s="1"/>
  <c r="Q29" i="8"/>
  <c r="Q30" i="8"/>
  <c r="Q31" i="8"/>
  <c r="X13" i="8" s="1"/>
  <c r="Q32" i="8"/>
  <c r="Q33" i="8"/>
  <c r="Q34" i="8"/>
  <c r="X14" i="8" s="1"/>
  <c r="Q35" i="8"/>
  <c r="Q36" i="8"/>
  <c r="Q37" i="8"/>
  <c r="X15" i="8" s="1"/>
  <c r="X3" i="7"/>
  <c r="X4" i="7"/>
  <c r="X5" i="7"/>
  <c r="X6" i="7"/>
  <c r="X7" i="7"/>
  <c r="X8" i="7"/>
  <c r="X2" i="7"/>
  <c r="V4" i="7"/>
  <c r="U2" i="7"/>
  <c r="T3" i="7"/>
  <c r="U3" i="7"/>
  <c r="V3" i="7" s="1"/>
  <c r="W3" i="7" s="1"/>
  <c r="T4" i="7"/>
  <c r="U4" i="7"/>
  <c r="T5" i="7"/>
  <c r="U5" i="7"/>
  <c r="V5" i="7" s="1"/>
  <c r="W5" i="7" s="1"/>
  <c r="T6" i="7"/>
  <c r="U6" i="7"/>
  <c r="V6" i="7" s="1"/>
  <c r="T7" i="7"/>
  <c r="U7" i="7"/>
  <c r="V7" i="7" s="1"/>
  <c r="W7" i="7" s="1"/>
  <c r="T8" i="7"/>
  <c r="U8" i="7"/>
  <c r="V8" i="7" s="1"/>
  <c r="W8" i="7" s="1"/>
  <c r="O3" i="7"/>
  <c r="P3" i="7"/>
  <c r="Q3" i="7"/>
  <c r="R3" i="7"/>
  <c r="S3" i="7"/>
  <c r="O4" i="7"/>
  <c r="P4" i="7"/>
  <c r="Q4" i="7"/>
  <c r="R4" i="7"/>
  <c r="S4" i="7"/>
  <c r="O5" i="7"/>
  <c r="P5" i="7"/>
  <c r="Q5" i="7"/>
  <c r="R5" i="7"/>
  <c r="S5" i="7"/>
  <c r="O6" i="7"/>
  <c r="P6" i="7"/>
  <c r="Q6" i="7"/>
  <c r="R6" i="7"/>
  <c r="S6" i="7"/>
  <c r="O7" i="7"/>
  <c r="P7" i="7"/>
  <c r="Q7" i="7"/>
  <c r="R7" i="7"/>
  <c r="S7" i="7"/>
  <c r="O8" i="7"/>
  <c r="P8" i="7"/>
  <c r="Q8" i="7"/>
  <c r="R8" i="7"/>
  <c r="S8" i="7"/>
  <c r="P2" i="7"/>
  <c r="Q2" i="7"/>
  <c r="R2" i="7"/>
  <c r="S2" i="7"/>
  <c r="T2" i="7"/>
  <c r="O2" i="7"/>
  <c r="R4" i="4"/>
  <c r="R21" i="4"/>
  <c r="S21" i="4"/>
  <c r="T21" i="4"/>
  <c r="U21" i="4"/>
  <c r="V21" i="4"/>
  <c r="R22" i="4"/>
  <c r="S22" i="4"/>
  <c r="T22" i="4"/>
  <c r="U22" i="4"/>
  <c r="V22" i="4"/>
  <c r="R23" i="4"/>
  <c r="S23" i="4"/>
  <c r="T23" i="4"/>
  <c r="U23" i="4"/>
  <c r="V23" i="4"/>
  <c r="R24" i="4"/>
  <c r="S24" i="4"/>
  <c r="T24" i="4"/>
  <c r="U24" i="4"/>
  <c r="V24" i="4"/>
  <c r="S20" i="4"/>
  <c r="T20" i="4"/>
  <c r="U20" i="4"/>
  <c r="V20" i="4"/>
  <c r="R20" i="4"/>
  <c r="S13" i="4"/>
  <c r="T13" i="4"/>
  <c r="U13" i="4"/>
  <c r="V13" i="4"/>
  <c r="S14" i="4"/>
  <c r="T14" i="4"/>
  <c r="U14" i="4"/>
  <c r="V14" i="4"/>
  <c r="S15" i="4"/>
  <c r="T15" i="4"/>
  <c r="U15" i="4"/>
  <c r="V15" i="4"/>
  <c r="S16" i="4"/>
  <c r="T16" i="4"/>
  <c r="U16" i="4"/>
  <c r="V16" i="4"/>
  <c r="T12" i="4"/>
  <c r="U12" i="4"/>
  <c r="V12" i="4"/>
  <c r="S12" i="4"/>
  <c r="R12" i="4"/>
  <c r="R13" i="4"/>
  <c r="R14" i="4"/>
  <c r="R15" i="4"/>
  <c r="R16" i="4"/>
  <c r="V5" i="4"/>
  <c r="V6" i="4"/>
  <c r="V7" i="4"/>
  <c r="V8" i="4"/>
  <c r="V4" i="4"/>
  <c r="U5" i="4"/>
  <c r="U6" i="4"/>
  <c r="U7" i="4"/>
  <c r="U8" i="4"/>
  <c r="U4" i="4"/>
  <c r="T4" i="4"/>
  <c r="T5" i="4"/>
  <c r="T6" i="4"/>
  <c r="T7" i="4"/>
  <c r="T8" i="4"/>
  <c r="S5" i="4"/>
  <c r="S6" i="4"/>
  <c r="S7" i="4"/>
  <c r="S8" i="4"/>
  <c r="S4" i="4"/>
  <c r="R5" i="4"/>
  <c r="R6" i="4"/>
  <c r="R7" i="4"/>
  <c r="R8" i="4"/>
  <c r="I367" i="4"/>
  <c r="W24" i="4" s="1"/>
  <c r="I366" i="4"/>
  <c r="W16" i="4" s="1"/>
  <c r="I365" i="4"/>
  <c r="I364" i="4"/>
  <c r="W23" i="4" s="1"/>
  <c r="I363" i="4"/>
  <c r="W15" i="4" s="1"/>
  <c r="I362" i="4"/>
  <c r="W7" i="4" s="1"/>
  <c r="I361" i="4"/>
  <c r="W22" i="4" s="1"/>
  <c r="I360" i="4"/>
  <c r="W14" i="4" s="1"/>
  <c r="I359" i="4"/>
  <c r="W6" i="4" s="1"/>
  <c r="I358" i="4"/>
  <c r="W21" i="4" s="1"/>
  <c r="I357" i="4"/>
  <c r="W13" i="4" s="1"/>
  <c r="I356" i="4"/>
  <c r="I355" i="4"/>
  <c r="W20" i="4" s="1"/>
  <c r="I354" i="4"/>
  <c r="W12" i="4" s="1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M24" i="14" l="1"/>
  <c r="M16" i="14"/>
  <c r="M8" i="14"/>
  <c r="AF4" i="14"/>
  <c r="K24" i="14"/>
  <c r="K8" i="14"/>
  <c r="AF24" i="14"/>
  <c r="K3" i="14"/>
  <c r="M4" i="14"/>
  <c r="K18" i="14"/>
  <c r="K10" i="14"/>
  <c r="M27" i="14"/>
  <c r="M19" i="14"/>
  <c r="M11" i="14"/>
  <c r="M3" i="14"/>
  <c r="K26" i="14"/>
  <c r="K23" i="14"/>
  <c r="M26" i="14"/>
  <c r="M18" i="14"/>
  <c r="M10" i="14"/>
  <c r="AF2" i="14"/>
  <c r="K6" i="14"/>
  <c r="AF28" i="14"/>
  <c r="K27" i="14"/>
  <c r="K19" i="14"/>
  <c r="K11" i="14"/>
  <c r="AP5" i="14"/>
  <c r="M22" i="14"/>
  <c r="M15" i="14"/>
  <c r="M7" i="14"/>
  <c r="AF8" i="14"/>
  <c r="K15" i="14"/>
  <c r="K14" i="14"/>
  <c r="K7" i="14"/>
  <c r="M29" i="14"/>
  <c r="M21" i="14"/>
  <c r="M13" i="14"/>
  <c r="M5" i="14"/>
  <c r="K25" i="14"/>
  <c r="K17" i="14"/>
  <c r="K9" i="14"/>
  <c r="AF12" i="14"/>
  <c r="K16" i="14"/>
  <c r="AF5" i="14"/>
  <c r="AF13" i="14"/>
  <c r="M23" i="14"/>
  <c r="K29" i="14"/>
  <c r="K21" i="14"/>
  <c r="K13" i="14"/>
  <c r="K5" i="14"/>
  <c r="M14" i="14"/>
  <c r="M6" i="14"/>
  <c r="K30" i="14"/>
  <c r="K22" i="14"/>
  <c r="U38" i="12"/>
  <c r="U34" i="12"/>
  <c r="U32" i="12"/>
  <c r="U28" i="12"/>
  <c r="T13" i="12"/>
  <c r="T5" i="12"/>
  <c r="T43" i="12"/>
  <c r="T35" i="12"/>
  <c r="T27" i="12"/>
  <c r="T12" i="12"/>
  <c r="W36" i="12"/>
  <c r="W30" i="12"/>
  <c r="T10" i="12"/>
  <c r="T40" i="12"/>
  <c r="T32" i="12"/>
  <c r="T24" i="12"/>
  <c r="T9" i="12"/>
  <c r="T39" i="12"/>
  <c r="T31" i="12"/>
  <c r="T6" i="12"/>
  <c r="W12" i="12"/>
  <c r="W10" i="12"/>
  <c r="W8" i="12"/>
  <c r="W6" i="12"/>
  <c r="T36" i="12"/>
  <c r="T28" i="12"/>
  <c r="V43" i="12"/>
  <c r="V42" i="12"/>
  <c r="V40" i="12"/>
  <c r="V36" i="12"/>
  <c r="V30" i="12"/>
  <c r="V26" i="12"/>
  <c r="V24" i="12"/>
  <c r="P45" i="12"/>
  <c r="X4" i="12"/>
  <c r="V13" i="12"/>
  <c r="V9" i="12"/>
  <c r="U43" i="12"/>
  <c r="U39" i="12"/>
  <c r="U35" i="12"/>
  <c r="U33" i="12"/>
  <c r="U29" i="12"/>
  <c r="U25" i="12"/>
  <c r="T4" i="12"/>
  <c r="U13" i="12"/>
  <c r="U10" i="12"/>
  <c r="U9" i="12"/>
  <c r="U6" i="12"/>
  <c r="U5" i="12"/>
  <c r="T42" i="12"/>
  <c r="T34" i="12"/>
  <c r="T26" i="12"/>
  <c r="X42" i="12"/>
  <c r="X40" i="12"/>
  <c r="X38" i="12"/>
  <c r="X36" i="12"/>
  <c r="X34" i="12"/>
  <c r="X32" i="12"/>
  <c r="X30" i="12"/>
  <c r="X28" i="12"/>
  <c r="X26" i="12"/>
  <c r="X24" i="12"/>
  <c r="V11" i="12"/>
  <c r="V7" i="12"/>
  <c r="U41" i="12"/>
  <c r="U37" i="12"/>
  <c r="U31" i="12"/>
  <c r="U27" i="12"/>
  <c r="U23" i="12"/>
  <c r="T11" i="12"/>
  <c r="X13" i="12"/>
  <c r="X11" i="12"/>
  <c r="X9" i="12"/>
  <c r="X7" i="12"/>
  <c r="X5" i="12"/>
  <c r="T41" i="12"/>
  <c r="T33" i="12"/>
  <c r="W42" i="12"/>
  <c r="W38" i="12"/>
  <c r="W34" i="12"/>
  <c r="W32" i="12"/>
  <c r="W31" i="12"/>
  <c r="W29" i="12"/>
  <c r="W27" i="12"/>
  <c r="W25" i="12"/>
  <c r="W23" i="12"/>
  <c r="W24" i="12"/>
  <c r="U42" i="12"/>
  <c r="U26" i="12"/>
  <c r="S45" i="12"/>
  <c r="U36" i="12"/>
  <c r="R15" i="12"/>
  <c r="O45" i="12"/>
  <c r="U30" i="12"/>
  <c r="W13" i="12"/>
  <c r="W11" i="12"/>
  <c r="W9" i="12"/>
  <c r="W7" i="12"/>
  <c r="W5" i="12"/>
  <c r="Q15" i="12"/>
  <c r="V41" i="12"/>
  <c r="V39" i="12"/>
  <c r="V37" i="12"/>
  <c r="V35" i="12"/>
  <c r="V33" i="12"/>
  <c r="V31" i="12"/>
  <c r="V29" i="12"/>
  <c r="V27" i="12"/>
  <c r="V25" i="12"/>
  <c r="V23" i="12"/>
  <c r="U40" i="12"/>
  <c r="V34" i="12"/>
  <c r="W28" i="12"/>
  <c r="U24" i="12"/>
  <c r="V12" i="12"/>
  <c r="V10" i="12"/>
  <c r="V8" i="12"/>
  <c r="V6" i="12"/>
  <c r="T23" i="12"/>
  <c r="V5" i="12"/>
  <c r="V28" i="12"/>
  <c r="R45" i="12"/>
  <c r="S15" i="12"/>
  <c r="X43" i="12"/>
  <c r="X41" i="12"/>
  <c r="X39" i="12"/>
  <c r="X37" i="12"/>
  <c r="X35" i="12"/>
  <c r="X33" i="12"/>
  <c r="X31" i="12"/>
  <c r="X29" i="12"/>
  <c r="X27" i="12"/>
  <c r="X25" i="12"/>
  <c r="X23" i="12"/>
  <c r="V38" i="12"/>
  <c r="Q45" i="12"/>
  <c r="T7" i="12"/>
  <c r="O15" i="12"/>
  <c r="T37" i="12"/>
  <c r="T29" i="12"/>
  <c r="W43" i="12"/>
  <c r="W41" i="12"/>
  <c r="W39" i="12"/>
  <c r="W37" i="12"/>
  <c r="W35" i="12"/>
  <c r="W33" i="12"/>
  <c r="V32" i="12"/>
  <c r="W26" i="12"/>
  <c r="U11" i="12"/>
  <c r="U7" i="12"/>
  <c r="T25" i="12"/>
  <c r="X12" i="12"/>
  <c r="X8" i="12"/>
  <c r="V4" i="12"/>
  <c r="P15" i="12"/>
  <c r="X10" i="12"/>
  <c r="X6" i="12"/>
  <c r="U12" i="12"/>
  <c r="U8" i="12"/>
  <c r="U4" i="12"/>
  <c r="AL29" i="8"/>
  <c r="Y46" i="8" s="1"/>
  <c r="AS26" i="8"/>
  <c r="AF43" i="8" s="1"/>
  <c r="AX25" i="8"/>
  <c r="AK42" i="8" s="1"/>
  <c r="AP25" i="8"/>
  <c r="AC42" i="8" s="1"/>
  <c r="AS32" i="8"/>
  <c r="AF49" i="8" s="1"/>
  <c r="AT26" i="8"/>
  <c r="AG43" i="8" s="1"/>
  <c r="AL26" i="8"/>
  <c r="Y43" i="8" s="1"/>
  <c r="AX22" i="8"/>
  <c r="AK39" i="8" s="1"/>
  <c r="AP22" i="8"/>
  <c r="AC39" i="8" s="1"/>
  <c r="AT32" i="8"/>
  <c r="AG49" i="8" s="1"/>
  <c r="AT28" i="8"/>
  <c r="AG45" i="8" s="1"/>
  <c r="AL31" i="8"/>
  <c r="Y48" i="8" s="1"/>
  <c r="AO25" i="8"/>
  <c r="AB42" i="8" s="1"/>
  <c r="AL23" i="8"/>
  <c r="Y40" i="8" s="1"/>
  <c r="AV30" i="8"/>
  <c r="AI47" i="8" s="1"/>
  <c r="AX28" i="8"/>
  <c r="AK45" i="8" s="1"/>
  <c r="AQ23" i="8"/>
  <c r="AD40" i="8" s="1"/>
  <c r="AX31" i="8"/>
  <c r="AK48" i="8" s="1"/>
  <c r="AV25" i="8"/>
  <c r="AI42" i="8" s="1"/>
  <c r="AP23" i="8"/>
  <c r="AC40" i="8" s="1"/>
  <c r="AR32" i="8"/>
  <c r="AE49" i="8" s="1"/>
  <c r="AW31" i="8"/>
  <c r="AJ48" i="8" s="1"/>
  <c r="AO31" i="8"/>
  <c r="AB48" i="8" s="1"/>
  <c r="AT30" i="8"/>
  <c r="AG47" i="8" s="1"/>
  <c r="AQ29" i="8"/>
  <c r="AD46" i="8" s="1"/>
  <c r="AV28" i="8"/>
  <c r="AI45" i="8" s="1"/>
  <c r="AN28" i="8"/>
  <c r="AA45" i="8" s="1"/>
  <c r="AS27" i="8"/>
  <c r="AF44" i="8" s="1"/>
  <c r="AX26" i="8"/>
  <c r="AK43" i="8" s="1"/>
  <c r="AP26" i="8"/>
  <c r="AC43" i="8" s="1"/>
  <c r="AU25" i="8"/>
  <c r="AH42" i="8" s="1"/>
  <c r="AM25" i="8"/>
  <c r="Z42" i="8" s="1"/>
  <c r="AR24" i="8"/>
  <c r="AE41" i="8" s="1"/>
  <c r="AW23" i="8"/>
  <c r="AJ40" i="8" s="1"/>
  <c r="AO23" i="8"/>
  <c r="AB40" i="8" s="1"/>
  <c r="AL32" i="8"/>
  <c r="Y49" i="8" s="1"/>
  <c r="AN30" i="8"/>
  <c r="AA47" i="8" s="1"/>
  <c r="AP28" i="8"/>
  <c r="AC45" i="8" s="1"/>
  <c r="AR26" i="8"/>
  <c r="AE43" i="8" s="1"/>
  <c r="AL24" i="8"/>
  <c r="Y41" i="8" s="1"/>
  <c r="AL27" i="8"/>
  <c r="Y44" i="8" s="1"/>
  <c r="AN25" i="8"/>
  <c r="AA42" i="8" s="1"/>
  <c r="AX23" i="8"/>
  <c r="AK40" i="8" s="1"/>
  <c r="AQ32" i="8"/>
  <c r="AD49" i="8" s="1"/>
  <c r="AV31" i="8"/>
  <c r="AI48" i="8" s="1"/>
  <c r="AN31" i="8"/>
  <c r="AA48" i="8" s="1"/>
  <c r="AS30" i="8"/>
  <c r="AF47" i="8" s="1"/>
  <c r="AX29" i="8"/>
  <c r="AK46" i="8" s="1"/>
  <c r="AP29" i="8"/>
  <c r="AC46" i="8" s="1"/>
  <c r="AU28" i="8"/>
  <c r="AH45" i="8" s="1"/>
  <c r="AM28" i="8"/>
  <c r="Z45" i="8" s="1"/>
  <c r="AR27" i="8"/>
  <c r="AE44" i="8" s="1"/>
  <c r="AW27" i="8"/>
  <c r="AJ44" i="8" s="1"/>
  <c r="AO26" i="8"/>
  <c r="AB43" i="8" s="1"/>
  <c r="AT25" i="8"/>
  <c r="AG42" i="8" s="1"/>
  <c r="AL25" i="8"/>
  <c r="Y42" i="8" s="1"/>
  <c r="AQ24" i="8"/>
  <c r="AD41" i="8" s="1"/>
  <c r="AV23" i="8"/>
  <c r="AI40" i="8" s="1"/>
  <c r="AN23" i="8"/>
  <c r="AA40" i="8" s="1"/>
  <c r="AS22" i="8"/>
  <c r="AF39" i="8" s="1"/>
  <c r="AQ31" i="8"/>
  <c r="AD48" i="8" s="1"/>
  <c r="AS29" i="8"/>
  <c r="AF46" i="8" s="1"/>
  <c r="AW25" i="8"/>
  <c r="AJ42" i="8" s="1"/>
  <c r="AT24" i="8"/>
  <c r="AG41" i="8" s="1"/>
  <c r="AL30" i="8"/>
  <c r="Y47" i="8" s="1"/>
  <c r="AP31" i="8"/>
  <c r="AC48" i="8" s="1"/>
  <c r="AQ26" i="8"/>
  <c r="AD43" i="8" s="1"/>
  <c r="AS24" i="8"/>
  <c r="AF41" i="8" s="1"/>
  <c r="AX32" i="8"/>
  <c r="AK49" i="8" s="1"/>
  <c r="AP32" i="8"/>
  <c r="AC49" i="8" s="1"/>
  <c r="AU31" i="8"/>
  <c r="AH48" i="8" s="1"/>
  <c r="AM31" i="8"/>
  <c r="Z48" i="8" s="1"/>
  <c r="AR30" i="8"/>
  <c r="AE47" i="8" s="1"/>
  <c r="AW29" i="8"/>
  <c r="AJ46" i="8" s="1"/>
  <c r="AO29" i="8"/>
  <c r="AB46" i="8" s="1"/>
  <c r="AL28" i="8"/>
  <c r="Y45" i="8" s="1"/>
  <c r="AQ27" i="8"/>
  <c r="AD44" i="8" s="1"/>
  <c r="AV26" i="8"/>
  <c r="AI43" i="8" s="1"/>
  <c r="AN26" i="8"/>
  <c r="AA43" i="8" s="1"/>
  <c r="AS25" i="8"/>
  <c r="AF42" i="8" s="1"/>
  <c r="AX24" i="8"/>
  <c r="AK41" i="8" s="1"/>
  <c r="AP24" i="8"/>
  <c r="AC41" i="8" s="1"/>
  <c r="AU23" i="8"/>
  <c r="AH40" i="8" s="1"/>
  <c r="AM23" i="8"/>
  <c r="Z40" i="8" s="1"/>
  <c r="AR22" i="8"/>
  <c r="AE39" i="8" s="1"/>
  <c r="AW32" i="8"/>
  <c r="AJ49" i="8" s="1"/>
  <c r="AO32" i="8"/>
  <c r="AB49" i="8" s="1"/>
  <c r="AT31" i="8"/>
  <c r="AG48" i="8" s="1"/>
  <c r="AQ30" i="8"/>
  <c r="AD47" i="8" s="1"/>
  <c r="AU26" i="8"/>
  <c r="AH43" i="8" s="1"/>
  <c r="AM26" i="8"/>
  <c r="Z43" i="8" s="1"/>
  <c r="AR25" i="8"/>
  <c r="AE42" i="8" s="1"/>
  <c r="AW24" i="8"/>
  <c r="AJ41" i="8" s="1"/>
  <c r="AO24" i="8"/>
  <c r="AB41" i="8" s="1"/>
  <c r="AT23" i="8"/>
  <c r="AG40" i="8" s="1"/>
  <c r="AQ22" i="8"/>
  <c r="AD39" i="8" s="1"/>
  <c r="AV32" i="8"/>
  <c r="AI49" i="8" s="1"/>
  <c r="AP30" i="8"/>
  <c r="AC47" i="8" s="1"/>
  <c r="AN24" i="8"/>
  <c r="AA41" i="8" s="1"/>
  <c r="AS23" i="8"/>
  <c r="AF40" i="8" s="1"/>
  <c r="AU32" i="8"/>
  <c r="AH49" i="8" s="1"/>
  <c r="AM32" i="8"/>
  <c r="Z49" i="8" s="1"/>
  <c r="AR31" i="8"/>
  <c r="AE48" i="8" s="1"/>
  <c r="AW30" i="8"/>
  <c r="AJ47" i="8" s="1"/>
  <c r="AO30" i="8"/>
  <c r="AB47" i="8" s="1"/>
  <c r="AT29" i="8"/>
  <c r="AG46" i="8" s="1"/>
  <c r="AU24" i="8"/>
  <c r="AH41" i="8" s="1"/>
  <c r="AM24" i="8"/>
  <c r="Z41" i="8" s="1"/>
  <c r="AR23" i="8"/>
  <c r="AE40" i="8" s="1"/>
  <c r="AW22" i="8"/>
  <c r="AJ39" i="8" s="1"/>
  <c r="AO22" i="8"/>
  <c r="AB39" i="8" s="1"/>
  <c r="AX30" i="8"/>
  <c r="AK47" i="8" s="1"/>
  <c r="AQ25" i="8"/>
  <c r="AD42" i="8" s="1"/>
  <c r="AV22" i="8"/>
  <c r="AI39" i="8" s="1"/>
  <c r="AN22" i="8"/>
  <c r="AA39" i="8" s="1"/>
  <c r="AN32" i="8"/>
  <c r="AA49" i="8" s="1"/>
  <c r="AU30" i="8"/>
  <c r="AH47" i="8" s="1"/>
  <c r="AM30" i="8"/>
  <c r="Z47" i="8" s="1"/>
  <c r="AR29" i="8"/>
  <c r="AE46" i="8" s="1"/>
  <c r="AW28" i="8"/>
  <c r="AJ45" i="8" s="1"/>
  <c r="AO28" i="8"/>
  <c r="AB45" i="8" s="1"/>
  <c r="AT27" i="8"/>
  <c r="AG44" i="8" s="1"/>
  <c r="AU22" i="8"/>
  <c r="AH39" i="8" s="1"/>
  <c r="AM22" i="8"/>
  <c r="Z39" i="8" s="1"/>
  <c r="AS31" i="8"/>
  <c r="AF48" i="8" s="1"/>
  <c r="AV24" i="8"/>
  <c r="AI41" i="8" s="1"/>
  <c r="AT22" i="8"/>
  <c r="AG39" i="8" s="1"/>
  <c r="AL22" i="8"/>
  <c r="Y39" i="8" s="1"/>
  <c r="Y51" i="8" s="1"/>
  <c r="AX27" i="8"/>
  <c r="AK44" i="8" s="1"/>
  <c r="AP27" i="8"/>
  <c r="AC44" i="8" s="1"/>
  <c r="AS28" i="8"/>
  <c r="AF45" i="8" s="1"/>
  <c r="AO27" i="8"/>
  <c r="AB44" i="8" s="1"/>
  <c r="AN29" i="8"/>
  <c r="AA46" i="8" s="1"/>
  <c r="AR28" i="8"/>
  <c r="AE45" i="8" s="1"/>
  <c r="AM29" i="8"/>
  <c r="Z46" i="8" s="1"/>
  <c r="AQ28" i="8"/>
  <c r="AD45" i="8" s="1"/>
  <c r="AM27" i="8"/>
  <c r="Z44" i="8" s="1"/>
  <c r="AV29" i="8"/>
  <c r="AI46" i="8" s="1"/>
  <c r="AN27" i="8"/>
  <c r="AA44" i="8" s="1"/>
  <c r="AW26" i="8"/>
  <c r="AJ43" i="8" s="1"/>
  <c r="AV27" i="8"/>
  <c r="AI44" i="8" s="1"/>
  <c r="AU29" i="8"/>
  <c r="AH46" i="8" s="1"/>
  <c r="AU27" i="8"/>
  <c r="AH44" i="8" s="1"/>
  <c r="Y13" i="8"/>
  <c r="Y9" i="8"/>
  <c r="Y11" i="8"/>
  <c r="Y8" i="8"/>
  <c r="Y5" i="8"/>
  <c r="Z5" i="8" s="1"/>
  <c r="Y7" i="8"/>
  <c r="Y6" i="8"/>
  <c r="Y14" i="8"/>
  <c r="Y15" i="8"/>
  <c r="Y12" i="8"/>
  <c r="Y10" i="8"/>
  <c r="W6" i="7"/>
  <c r="W4" i="7"/>
  <c r="T10" i="7"/>
  <c r="S10" i="7"/>
  <c r="Q10" i="7"/>
  <c r="P10" i="7"/>
  <c r="R10" i="7"/>
  <c r="O10" i="7"/>
  <c r="U10" i="7"/>
  <c r="S9" i="4"/>
  <c r="Z6" i="4" s="1"/>
  <c r="W25" i="4"/>
  <c r="AD23" i="4" s="1"/>
  <c r="R17" i="4"/>
  <c r="Y14" i="4" s="1"/>
  <c r="T9" i="4"/>
  <c r="AA6" i="4" s="1"/>
  <c r="R9" i="4"/>
  <c r="Y7" i="4" s="1"/>
  <c r="T17" i="4"/>
  <c r="AA13" i="4" s="1"/>
  <c r="U17" i="4"/>
  <c r="AB15" i="4" s="1"/>
  <c r="V9" i="4"/>
  <c r="AC4" i="4" s="1"/>
  <c r="V17" i="4"/>
  <c r="AC12" i="4" s="1"/>
  <c r="U9" i="4"/>
  <c r="AB5" i="4" s="1"/>
  <c r="W17" i="4"/>
  <c r="AD14" i="4" s="1"/>
  <c r="S17" i="4"/>
  <c r="Z15" i="4" s="1"/>
  <c r="U25" i="4"/>
  <c r="AB20" i="4" s="1"/>
  <c r="R25" i="4"/>
  <c r="Y23" i="4" s="1"/>
  <c r="S25" i="4"/>
  <c r="Z22" i="4" s="1"/>
  <c r="T25" i="4"/>
  <c r="AA24" i="4" s="1"/>
  <c r="V25" i="4"/>
  <c r="AC22" i="4" s="1"/>
  <c r="W4" i="4"/>
  <c r="W5" i="4"/>
  <c r="W8" i="4"/>
  <c r="AB24" i="4" l="1"/>
  <c r="Z24" i="4"/>
  <c r="Z21" i="4"/>
  <c r="W15" i="12"/>
  <c r="T15" i="12"/>
  <c r="T45" i="12"/>
  <c r="X45" i="12"/>
  <c r="U45" i="12"/>
  <c r="W45" i="12"/>
  <c r="V45" i="12"/>
  <c r="X15" i="12"/>
  <c r="V15" i="12"/>
  <c r="U15" i="12"/>
  <c r="Z6" i="8"/>
  <c r="AG50" i="8"/>
  <c r="U46" i="8" s="1"/>
  <c r="AC50" i="8"/>
  <c r="U42" i="8" s="1"/>
  <c r="Z9" i="8"/>
  <c r="Z10" i="8"/>
  <c r="AK50" i="8"/>
  <c r="U50" i="8" s="1"/>
  <c r="Z12" i="8"/>
  <c r="Y50" i="8"/>
  <c r="AD50" i="8"/>
  <c r="U43" i="8" s="1"/>
  <c r="Z14" i="8"/>
  <c r="AE50" i="8"/>
  <c r="U44" i="8" s="1"/>
  <c r="Z50" i="8"/>
  <c r="U39" i="8" s="1"/>
  <c r="AF50" i="8"/>
  <c r="U45" i="8" s="1"/>
  <c r="AI50" i="8"/>
  <c r="U48" i="8" s="1"/>
  <c r="AH50" i="8"/>
  <c r="U47" i="8" s="1"/>
  <c r="AA50" i="8"/>
  <c r="U40" i="8" s="1"/>
  <c r="Z8" i="8"/>
  <c r="AB50" i="8"/>
  <c r="U41" i="8" s="1"/>
  <c r="AJ50" i="8"/>
  <c r="U49" i="8" s="1"/>
  <c r="Z11" i="8"/>
  <c r="Z7" i="8"/>
  <c r="Z15" i="8"/>
  <c r="Z13" i="8"/>
  <c r="AD21" i="4"/>
  <c r="AA21" i="4"/>
  <c r="AD22" i="4"/>
  <c r="AA20" i="4"/>
  <c r="AB21" i="4"/>
  <c r="AC23" i="4"/>
  <c r="AC21" i="4"/>
  <c r="Z20" i="4"/>
  <c r="AD20" i="4"/>
  <c r="Z5" i="4"/>
  <c r="Y8" i="4"/>
  <c r="Z8" i="4"/>
  <c r="Z23" i="4"/>
  <c r="Z4" i="4"/>
  <c r="Y20" i="4"/>
  <c r="Y24" i="4"/>
  <c r="AC24" i="4"/>
  <c r="AA23" i="4"/>
  <c r="Y21" i="4"/>
  <c r="AA22" i="4"/>
  <c r="Z7" i="4"/>
  <c r="AC20" i="4"/>
  <c r="AB23" i="4"/>
  <c r="AB22" i="4"/>
  <c r="AD24" i="4"/>
  <c r="Y22" i="4"/>
  <c r="Y6" i="4"/>
  <c r="AA16" i="4"/>
  <c r="Y5" i="4"/>
  <c r="Y16" i="4"/>
  <c r="AB12" i="4"/>
  <c r="AB8" i="4"/>
  <c r="AA8" i="4"/>
  <c r="Y4" i="4"/>
  <c r="AA5" i="4"/>
  <c r="AA4" i="4"/>
  <c r="AA7" i="4"/>
  <c r="Y12" i="4"/>
  <c r="Y15" i="4"/>
  <c r="AB4" i="4"/>
  <c r="Y13" i="4"/>
  <c r="AB7" i="4"/>
  <c r="AA14" i="4"/>
  <c r="AB6" i="4"/>
  <c r="AC16" i="4"/>
  <c r="Z16" i="4"/>
  <c r="AA12" i="4"/>
  <c r="AA15" i="4"/>
  <c r="Z12" i="4"/>
  <c r="AC6" i="4"/>
  <c r="AB16" i="4"/>
  <c r="AB14" i="4"/>
  <c r="AD16" i="4"/>
  <c r="W9" i="4"/>
  <c r="AC5" i="4"/>
  <c r="AD15" i="4"/>
  <c r="Z14" i="4"/>
  <c r="AB13" i="4"/>
  <c r="AC8" i="4"/>
  <c r="AD12" i="4"/>
  <c r="Z13" i="4"/>
  <c r="AD13" i="4"/>
  <c r="AC7" i="4"/>
  <c r="AC14" i="4"/>
  <c r="AC13" i="4"/>
  <c r="AC15" i="4"/>
  <c r="U38" i="8" l="1"/>
  <c r="AA54" i="8"/>
  <c r="AF23" i="4"/>
  <c r="AF22" i="4"/>
  <c r="AF15" i="4"/>
  <c r="AF14" i="4"/>
  <c r="AD6" i="4"/>
  <c r="AD7" i="4"/>
  <c r="AD4" i="4"/>
  <c r="AD5" i="4"/>
  <c r="AD8" i="4"/>
  <c r="AF6" i="4" l="1"/>
  <c r="AF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C8F3DF-FE12-4A0D-9EF4-ABA530F1360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BF0333F-6F1A-4738-8C4E-7C3FFD95D7A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40BB8C36-CC6C-40AA-BE40-87D91E4A90B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5D89DB0D-93A1-46DF-8171-CCF8C9D9DDB6}" name="WorksheetConnection_CPI Project_01.xlsx!Table5" type="102" refreshedVersion="8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CPIProject_01.xlsxTable51"/>
        </x15:connection>
      </ext>
    </extLst>
  </connection>
</connections>
</file>

<file path=xl/sharedStrings.xml><?xml version="1.0" encoding="utf-8"?>
<sst xmlns="http://schemas.openxmlformats.org/spreadsheetml/2006/main" count="3988" uniqueCount="123">
  <si>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</si>
  <si>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</si>
  <si>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</si>
  <si>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</si>
  <si>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</si>
  <si>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</si>
  <si>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</si>
  <si>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</si>
  <si>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</si>
  <si>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</si>
  <si>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</si>
  <si>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</si>
  <si>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</si>
  <si>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</si>
  <si>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</si>
  <si>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</si>
  <si>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</si>
  <si>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</si>
  <si>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</si>
  <si>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</si>
  <si>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</si>
  <si>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</si>
  <si>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</si>
  <si>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</si>
  <si>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</si>
  <si>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</si>
  <si>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</si>
  <si>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</si>
  <si>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</si>
  <si>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</si>
  <si>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</si>
  <si>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</si>
  <si>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</si>
  <si>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</si>
  <si>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</si>
  <si>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</si>
  <si>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</si>
  <si>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</si>
  <si>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</si>
  <si>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</si>
  <si>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</si>
  <si>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</si>
  <si>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</si>
  <si>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</si>
  <si>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</si>
  <si>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</si>
  <si>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</si>
  <si>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</si>
  <si>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</si>
  <si>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Food</t>
  </si>
  <si>
    <t>Transportation</t>
  </si>
  <si>
    <t>Energy</t>
  </si>
  <si>
    <t>Personal Care</t>
  </si>
  <si>
    <t>Miscellaneous2</t>
  </si>
  <si>
    <t>Housing2</t>
  </si>
  <si>
    <t>Housing expence</t>
  </si>
  <si>
    <t>Data of Latest Five Months 2023</t>
  </si>
  <si>
    <t>Sum</t>
  </si>
  <si>
    <t>Inflation</t>
  </si>
  <si>
    <t>Percentage</t>
  </si>
  <si>
    <t>INFLATION</t>
  </si>
  <si>
    <t>Difference</t>
  </si>
  <si>
    <t>2022-2023</t>
  </si>
  <si>
    <t>Absolute Change</t>
  </si>
  <si>
    <t>SUM</t>
  </si>
  <si>
    <t>Food Category</t>
  </si>
  <si>
    <t>Contribution</t>
  </si>
  <si>
    <t>Max</t>
  </si>
  <si>
    <t>Min</t>
  </si>
  <si>
    <t>Fuel &amp; Energy</t>
  </si>
  <si>
    <t>AVERAGE</t>
  </si>
  <si>
    <t>Average</t>
  </si>
  <si>
    <t>Category</t>
  </si>
  <si>
    <t>Before COVID-19</t>
  </si>
  <si>
    <t>After COVID-19</t>
  </si>
  <si>
    <t>Before &amp; After COVID-19</t>
  </si>
  <si>
    <t>Fuel Inflation</t>
  </si>
  <si>
    <t>General</t>
  </si>
  <si>
    <t>Fuel Price</t>
  </si>
  <si>
    <t>Price_inflation</t>
  </si>
  <si>
    <t>Price</t>
  </si>
  <si>
    <t>Open</t>
  </si>
  <si>
    <t>High</t>
  </si>
  <si>
    <t>Low</t>
  </si>
  <si>
    <t>Vol.</t>
  </si>
  <si>
    <t>Change %</t>
  </si>
  <si>
    <t>4.44M</t>
  </si>
  <si>
    <t>4.59M</t>
  </si>
  <si>
    <t>7.08M</t>
  </si>
  <si>
    <t>4.34M</t>
  </si>
  <si>
    <t>4.24M</t>
  </si>
  <si>
    <t>4.85M</t>
  </si>
  <si>
    <t>4.47M</t>
  </si>
  <si>
    <t>4.13M</t>
  </si>
  <si>
    <t>5.76M</t>
  </si>
  <si>
    <t>4.91M</t>
  </si>
  <si>
    <t>5.86M</t>
  </si>
  <si>
    <t>4.15M</t>
  </si>
  <si>
    <t>4.77M</t>
  </si>
  <si>
    <t>5.51M</t>
  </si>
  <si>
    <t>7.05M</t>
  </si>
  <si>
    <t>4.05M</t>
  </si>
  <si>
    <t>4.23M</t>
  </si>
  <si>
    <t>4.64M</t>
  </si>
  <si>
    <t>4.22M</t>
  </si>
  <si>
    <t>4.31M</t>
  </si>
  <si>
    <t>5.09M</t>
  </si>
  <si>
    <t>4.21M</t>
  </si>
  <si>
    <t>4.98M</t>
  </si>
  <si>
    <t>3.79M</t>
  </si>
  <si>
    <t>4.41M</t>
  </si>
  <si>
    <t>6.98M</t>
  </si>
  <si>
    <t>5.01M</t>
  </si>
  <si>
    <t>Transport Inflation</t>
  </si>
  <si>
    <t>Trans_Inflation</t>
  </si>
  <si>
    <t>Trans_Price</t>
  </si>
  <si>
    <t>Crude Price</t>
  </si>
  <si>
    <t>Gen &amp;crude</t>
  </si>
  <si>
    <t>Fuel &amp; Crude</t>
  </si>
  <si>
    <t>Trans &amp; crude</t>
  </si>
  <si>
    <t>Crude Inflation</t>
  </si>
  <si>
    <t>Transportation Price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</si>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</sst>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8"/>
      <color rgb="FF002060"/>
      <name val="Aptos Narrow"/>
      <family val="2"/>
      <scheme val="minor"/>
    </font>
    <font>
      <sz val="10"/>
      <color theme="1"/>
      <name val="Arial Unicode MS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AFF67"/>
        <bgColor indexed="64"/>
      </patternFill>
    </fill>
    <fill>
      <patternFill patternType="solid">
        <fgColor rgb="FF67B7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367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4" borderId="2" xfId="0" applyFill="1" applyBorder="1"/>
    <xf numFmtId="0" fontId="0" fillId="3" borderId="1" xfId="0" applyFill="1" applyBorder="1"/>
    <xf numFmtId="0" fontId="0" fillId="7" borderId="1" xfId="0" applyFill="1" applyBorder="1"/>
    <xf numFmtId="0" fontId="0" fillId="4" borderId="3" xfId="0" applyFill="1" applyBorder="1"/>
    <xf numFmtId="10" fontId="0" fillId="0" borderId="1" xfId="0" applyNumberFormat="1" applyBorder="1"/>
    <xf numFmtId="10" fontId="0" fillId="4" borderId="1" xfId="0" applyNumberFormat="1" applyFill="1" applyBorder="1"/>
    <xf numFmtId="0" fontId="0" fillId="0" borderId="4" xfId="0" applyBorder="1"/>
    <xf numFmtId="0" fontId="4" fillId="0" borderId="1" xfId="0" applyFont="1" applyBorder="1"/>
    <xf numFmtId="0" fontId="4" fillId="7" borderId="1" xfId="0" applyFont="1" applyFill="1" applyBorder="1"/>
    <xf numFmtId="0" fontId="4" fillId="0" borderId="2" xfId="0" applyFont="1" applyBorder="1"/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right"/>
    </xf>
    <xf numFmtId="0" fontId="4" fillId="4" borderId="1" xfId="0" applyFont="1" applyFill="1" applyBorder="1" applyAlignment="1">
      <alignment horizontal="right"/>
    </xf>
    <xf numFmtId="10" fontId="0" fillId="0" borderId="0" xfId="0" applyNumberFormat="1"/>
    <xf numFmtId="0" fontId="1" fillId="8" borderId="1" xfId="0" applyFont="1" applyFill="1" applyBorder="1"/>
    <xf numFmtId="0" fontId="0" fillId="6" borderId="1" xfId="0" applyFill="1" applyBorder="1"/>
    <xf numFmtId="0" fontId="0" fillId="5" borderId="1" xfId="0" applyFill="1" applyBorder="1"/>
    <xf numFmtId="10" fontId="4" fillId="2" borderId="1" xfId="0" applyNumberFormat="1" applyFont="1" applyFill="1" applyBorder="1"/>
    <xf numFmtId="10" fontId="4" fillId="9" borderId="1" xfId="0" applyNumberFormat="1" applyFont="1" applyFill="1" applyBorder="1"/>
    <xf numFmtId="0" fontId="1" fillId="3" borderId="4" xfId="0" applyFont="1" applyFill="1" applyBorder="1"/>
    <xf numFmtId="0" fontId="0" fillId="9" borderId="5" xfId="0" applyFill="1" applyBorder="1"/>
    <xf numFmtId="164" fontId="0" fillId="0" borderId="4" xfId="0" applyNumberFormat="1" applyBorder="1"/>
    <xf numFmtId="0" fontId="1" fillId="3" borderId="0" xfId="0" applyFont="1" applyFill="1"/>
    <xf numFmtId="0" fontId="0" fillId="9" borderId="1" xfId="0" applyFill="1" applyBorder="1"/>
    <xf numFmtId="0" fontId="1" fillId="3" borderId="6" xfId="0" applyFont="1" applyFill="1" applyBorder="1"/>
    <xf numFmtId="0" fontId="0" fillId="0" borderId="6" xfId="0" applyBorder="1"/>
    <xf numFmtId="0" fontId="4" fillId="10" borderId="1" xfId="0" applyFont="1" applyFill="1" applyBorder="1" applyAlignment="1">
      <alignment horizontal="center"/>
    </xf>
    <xf numFmtId="0" fontId="0" fillId="11" borderId="0" xfId="0" applyFill="1"/>
    <xf numFmtId="0" fontId="4" fillId="10" borderId="1" xfId="0" applyFont="1" applyFill="1" applyBorder="1"/>
    <xf numFmtId="10" fontId="0" fillId="0" borderId="3" xfId="0" applyNumberFormat="1" applyBorder="1"/>
    <xf numFmtId="0" fontId="4" fillId="5" borderId="1" xfId="0" applyFont="1" applyFill="1" applyBorder="1" applyAlignment="1">
      <alignment horizontal="center"/>
    </xf>
    <xf numFmtId="10" fontId="4" fillId="5" borderId="1" xfId="0" applyNumberFormat="1" applyFont="1" applyFill="1" applyBorder="1"/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0" fillId="0" borderId="0" xfId="0" applyAlignment="1">
      <alignment vertical="center" wrapText="1"/>
    </xf>
    <xf numFmtId="0" fontId="6" fillId="10" borderId="1" xfId="0" applyFont="1" applyFill="1" applyBorder="1"/>
    <xf numFmtId="10" fontId="0" fillId="5" borderId="1" xfId="0" applyNumberFormat="1" applyFill="1" applyBorder="1"/>
    <xf numFmtId="0" fontId="4" fillId="12" borderId="1" xfId="0" applyFont="1" applyFill="1" applyBorder="1"/>
    <xf numFmtId="10" fontId="4" fillId="13" borderId="1" xfId="0" applyNumberFormat="1" applyFont="1" applyFill="1" applyBorder="1"/>
    <xf numFmtId="0" fontId="1" fillId="14" borderId="0" xfId="0" applyFont="1" applyFill="1"/>
    <xf numFmtId="0" fontId="1" fillId="14" borderId="1" xfId="0" applyFont="1" applyFill="1" applyBorder="1"/>
    <xf numFmtId="0" fontId="1" fillId="14" borderId="1" xfId="0" applyFont="1" applyFill="1" applyBorder="1" applyAlignment="1">
      <alignment horizontal="center"/>
    </xf>
    <xf numFmtId="10" fontId="0" fillId="5" borderId="0" xfId="0" applyNumberFormat="1" applyFill="1"/>
    <xf numFmtId="0" fontId="0" fillId="0" borderId="2" xfId="0" applyBorder="1"/>
    <xf numFmtId="0" fontId="0" fillId="0" borderId="8" xfId="0" applyBorder="1"/>
    <xf numFmtId="2" fontId="4" fillId="5" borderId="1" xfId="0" applyNumberFormat="1" applyFont="1" applyFill="1" applyBorder="1"/>
    <xf numFmtId="0" fontId="7" fillId="0" borderId="0" xfId="0" applyFont="1"/>
    <xf numFmtId="2" fontId="0" fillId="0" borderId="0" xfId="0" applyNumberFormat="1"/>
    <xf numFmtId="2" fontId="0" fillId="0" borderId="1" xfId="0" applyNumberFormat="1" applyBorder="1"/>
    <xf numFmtId="0" fontId="10" fillId="0" borderId="0" xfId="0" applyFont="1"/>
    <xf numFmtId="0" fontId="1" fillId="14" borderId="5" xfId="0" applyFont="1" applyFill="1" applyBorder="1"/>
    <xf numFmtId="0" fontId="1" fillId="14" borderId="4" xfId="0" applyFont="1" applyFill="1" applyBorder="1"/>
    <xf numFmtId="0" fontId="1" fillId="14" borderId="2" xfId="0" applyFont="1" applyFill="1" applyBorder="1"/>
    <xf numFmtId="165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;[Red]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numFmt numFmtId="164" formatCode="0.00;[Red]0.00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59999389629810485"/>
        </patternFill>
      </fill>
    </dxf>
    <dxf>
      <numFmt numFmtId="164" formatCode="0.00;[Red]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7B7FF"/>
      <color rgb="FF236785"/>
      <color rgb="FFBAF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'2022-2023'!$U$52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'2022-2023'!$T$53:$T$65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'2022-2023'!$U$53:$U$65</c:f>
              <c:numCache>
                <c:formatCode>0.00%</c:formatCode>
                <c:ptCount val="13"/>
                <c:pt idx="0">
                  <c:v>1.025360990175914</c:v>
                </c:pt>
                <c:pt idx="1">
                  <c:v>1.1989628753987662</c:v>
                </c:pt>
                <c:pt idx="2">
                  <c:v>2.9584296489131865</c:v>
                </c:pt>
                <c:pt idx="3">
                  <c:v>0.6645785179071525</c:v>
                </c:pt>
                <c:pt idx="4">
                  <c:v>1.5857728302131433</c:v>
                </c:pt>
                <c:pt idx="5">
                  <c:v>2.1570036308946734</c:v>
                </c:pt>
                <c:pt idx="6">
                  <c:v>3.3643498062681889</c:v>
                </c:pt>
                <c:pt idx="7">
                  <c:v>0.55767614863704729</c:v>
                </c:pt>
                <c:pt idx="8">
                  <c:v>0.4824519034660732</c:v>
                </c:pt>
                <c:pt idx="9">
                  <c:v>1.2843791291938551</c:v>
                </c:pt>
                <c:pt idx="10">
                  <c:v>0.2690632526282879</c:v>
                </c:pt>
                <c:pt idx="11">
                  <c:v>0.45551575944568579</c:v>
                </c:pt>
                <c:pt idx="12">
                  <c:v>0.54505827474901303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F-40A4-A53D-F6E78B4D5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2989439"/>
        <c:axId val="292990879"/>
      </c:barChart>
      <c:catAx>
        <c:axId val="29298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90879"/>
        <c:crosses val="autoZero"/>
        <c:auto val="1"/>
        <c:lblAlgn val="ctr"/>
        <c:lblOffset val="100"/>
        <c:noMultiLvlLbl val="0"/>
      </c:catAx>
      <c:valAx>
        <c:axId val="29299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8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Rural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Analysis!$R$3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Analysis!$Q$4:$Q$8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Analysis!$R$4:$R$8</c:f>
              <c:numCache>
                <c:formatCode>General</c:formatCode>
                <c:ptCount val="5"/>
                <c:pt idx="0">
                  <c:v>2283.2000000000003</c:v>
                </c:pt>
                <c:pt idx="1">
                  <c:v>2265.6999999999998</c:v>
                </c:pt>
                <c:pt idx="2">
                  <c:v>2265.8000000000002</c:v>
                </c:pt>
                <c:pt idx="3">
                  <c:v>2274.1999999999998</c:v>
                </c:pt>
                <c:pt idx="4">
                  <c:v>2290.7000000000007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2-4A61-B60A-7F188B6370E8}"/>
            </c:ext>
          </c:extLst>
        </c:ser>
        <c:ser>
          <c:idx val="1"/>
          <c:order val="1"/>
          <c:tx>
            <c:strRef>
              <c:f>Analysis!$S$3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Analysis!$Q$4:$Q$8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Analysis!$S$4:$S$8</c:f>
              <c:numCache>
                <c:formatCode>General</c:formatCode>
                <c:ptCount val="5"/>
                <c:pt idx="0">
                  <c:v>183.2</c:v>
                </c:pt>
                <c:pt idx="1">
                  <c:v>181.6</c:v>
                </c:pt>
                <c:pt idx="2">
                  <c:v>181.4</c:v>
                </c:pt>
                <c:pt idx="3">
                  <c:v>181.5</c:v>
                </c:pt>
                <c:pt idx="4">
                  <c:v>182.5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2-4A61-B60A-7F188B6370E8}"/>
            </c:ext>
          </c:extLst>
        </c:ser>
        <c:ser>
          <c:idx val="2"/>
          <c:order val="2"/>
          <c:tx>
            <c:strRef>
              <c:f>Analysis!$T$3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Analysis!$Q$4:$Q$8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Analysis!$T$4:$T$8</c:f>
              <c:numCache>
                <c:formatCode>General</c:formatCode>
                <c:ptCount val="5"/>
                <c:pt idx="0">
                  <c:v>168.2</c:v>
                </c:pt>
                <c:pt idx="1">
                  <c:v>169</c:v>
                </c:pt>
                <c:pt idx="2">
                  <c:v>169</c:v>
                </c:pt>
                <c:pt idx="3">
                  <c:v>169.4</c:v>
                </c:pt>
                <c:pt idx="4">
                  <c:v>169.7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52-4A61-B60A-7F188B6370E8}"/>
            </c:ext>
          </c:extLst>
        </c:ser>
        <c:ser>
          <c:idx val="3"/>
          <c:order val="3"/>
          <c:tx>
            <c:strRef>
              <c:f>Analysis!$U$3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Analysis!$Q$4:$Q$8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Analysis!$U$4:$U$8</c:f>
              <c:numCache>
                <c:formatCode>General</c:formatCode>
                <c:ptCount val="5"/>
                <c:pt idx="0">
                  <c:v>1276.5999999999999</c:v>
                </c:pt>
                <c:pt idx="1">
                  <c:v>1285.2</c:v>
                </c:pt>
                <c:pt idx="2">
                  <c:v>1285.2</c:v>
                </c:pt>
                <c:pt idx="3">
                  <c:v>1291.8000000000002</c:v>
                </c:pt>
                <c:pt idx="4">
                  <c:v>1296.7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52-4A61-B60A-7F188B6370E8}"/>
            </c:ext>
          </c:extLst>
        </c:ser>
        <c:ser>
          <c:idx val="4"/>
          <c:order val="4"/>
          <c:tx>
            <c:strRef>
              <c:f>Analysis!$V$3</c:f>
              <c:strCache>
                <c:ptCount val="1"/>
                <c:pt idx="0">
                  <c:v>Miscellaneous2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cat>
            <c:strRef>
              <c:f>Analysis!$Q$4:$Q$8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Analysis!$V$4:$V$8</c:f>
              <c:numCache>
                <c:formatCode>General</c:formatCode>
                <c:ptCount val="5"/>
                <c:pt idx="0">
                  <c:v>373.4</c:v>
                </c:pt>
                <c:pt idx="1">
                  <c:v>376.20000000000005</c:v>
                </c:pt>
                <c:pt idx="2">
                  <c:v>376.3</c:v>
                </c:pt>
                <c:pt idx="3">
                  <c:v>378.4</c:v>
                </c:pt>
                <c:pt idx="4">
                  <c:v>379.4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52-4A61-B60A-7F188B6370E8}"/>
            </c:ext>
          </c:extLst>
        </c:ser>
        <c:ser>
          <c:idx val="5"/>
          <c:order val="5"/>
          <c:tx>
            <c:strRef>
              <c:f>Analysis!$W$3</c:f>
              <c:strCache>
                <c:ptCount val="1"/>
                <c:pt idx="0">
                  <c:v>Housing expence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cat>
            <c:strRef>
              <c:f>Analysis!$Q$4:$Q$8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Analysis!$W$4:$W$8</c:f>
              <c:numCache>
                <c:formatCode>General</c:formatCode>
                <c:ptCount val="5"/>
                <c:pt idx="0">
                  <c:v>314.76</c:v>
                </c:pt>
                <c:pt idx="1">
                  <c:v>315.65999999999997</c:v>
                </c:pt>
                <c:pt idx="2">
                  <c:v>316.45999999999998</c:v>
                </c:pt>
                <c:pt idx="3">
                  <c:v>317.86</c:v>
                </c:pt>
                <c:pt idx="4">
                  <c:v>317.86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52-4A61-B60A-7F188B637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8706848"/>
        <c:axId val="1248700608"/>
        <c:axId val="0"/>
      </c:bar3DChart>
      <c:catAx>
        <c:axId val="124870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700608"/>
        <c:crosses val="autoZero"/>
        <c:auto val="1"/>
        <c:lblAlgn val="ctr"/>
        <c:lblOffset val="100"/>
        <c:noMultiLvlLbl val="0"/>
      </c:catAx>
      <c:valAx>
        <c:axId val="1248700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870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Analysis!$R$11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Analysis!$Q$12:$Q$16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Analysis!$R$12:$R$16</c:f>
              <c:numCache>
                <c:formatCode>General</c:formatCode>
                <c:ptCount val="5"/>
                <c:pt idx="0">
                  <c:v>2310.2000000000003</c:v>
                </c:pt>
                <c:pt idx="1">
                  <c:v>2303.1999999999998</c:v>
                </c:pt>
                <c:pt idx="2">
                  <c:v>2303.4</c:v>
                </c:pt>
                <c:pt idx="3">
                  <c:v>2317.7000000000003</c:v>
                </c:pt>
                <c:pt idx="4">
                  <c:v>2335.1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C-4DD3-9FFA-6ADF33ADD033}"/>
            </c:ext>
          </c:extLst>
        </c:ser>
        <c:ser>
          <c:idx val="1"/>
          <c:order val="1"/>
          <c:tx>
            <c:strRef>
              <c:f>Analysis!$S$11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Analysis!$Q$12:$Q$16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Analysis!$S$12:$S$16</c:f>
              <c:numCache>
                <c:formatCode>General</c:formatCode>
                <c:ptCount val="5"/>
                <c:pt idx="0">
                  <c:v>180.1</c:v>
                </c:pt>
                <c:pt idx="1">
                  <c:v>182.8</c:v>
                </c:pt>
                <c:pt idx="2">
                  <c:v>182.6</c:v>
                </c:pt>
                <c:pt idx="3">
                  <c:v>182.1</c:v>
                </c:pt>
                <c:pt idx="4">
                  <c:v>183.4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C-4DD3-9FFA-6ADF33ADD033}"/>
            </c:ext>
          </c:extLst>
        </c:ser>
        <c:ser>
          <c:idx val="2"/>
          <c:order val="2"/>
          <c:tx>
            <c:strRef>
              <c:f>Analysis!$T$11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Analysis!$Q$12:$Q$16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Analysis!$T$12:$T$16</c:f>
              <c:numCache>
                <c:formatCode>General</c:formatCode>
                <c:ptCount val="5"/>
                <c:pt idx="0">
                  <c:v>159.5</c:v>
                </c:pt>
                <c:pt idx="1">
                  <c:v>159.80000000000001</c:v>
                </c:pt>
                <c:pt idx="2">
                  <c:v>159.80000000000001</c:v>
                </c:pt>
                <c:pt idx="3">
                  <c:v>160.1</c:v>
                </c:pt>
                <c:pt idx="4">
                  <c:v>160.4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FC-4DD3-9FFA-6ADF33ADD033}"/>
            </c:ext>
          </c:extLst>
        </c:ser>
        <c:ser>
          <c:idx val="3"/>
          <c:order val="3"/>
          <c:tx>
            <c:strRef>
              <c:f>Analysis!$U$11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Analysis!$Q$12:$Q$16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Analysis!$U$12:$U$16</c:f>
              <c:numCache>
                <c:formatCode>General</c:formatCode>
                <c:ptCount val="5"/>
                <c:pt idx="0">
                  <c:v>1217.5</c:v>
                </c:pt>
                <c:pt idx="1">
                  <c:v>1228.5999999999999</c:v>
                </c:pt>
                <c:pt idx="2">
                  <c:v>1228.5999999999999</c:v>
                </c:pt>
                <c:pt idx="3">
                  <c:v>1236.5</c:v>
                </c:pt>
                <c:pt idx="4">
                  <c:v>1240.4999999999998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FC-4DD3-9FFA-6ADF33ADD033}"/>
            </c:ext>
          </c:extLst>
        </c:ser>
        <c:ser>
          <c:idx val="4"/>
          <c:order val="4"/>
          <c:tx>
            <c:strRef>
              <c:f>Analysis!$V$11</c:f>
              <c:strCache>
                <c:ptCount val="1"/>
                <c:pt idx="0">
                  <c:v>Miscellaneous2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cat>
            <c:strRef>
              <c:f>Analysis!$Q$12:$Q$16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Analysis!$V$12:$V$16</c:f>
              <c:numCache>
                <c:formatCode>General</c:formatCode>
                <c:ptCount val="5"/>
                <c:pt idx="0">
                  <c:v>370.5</c:v>
                </c:pt>
                <c:pt idx="1">
                  <c:v>372.7</c:v>
                </c:pt>
                <c:pt idx="2">
                  <c:v>372.7</c:v>
                </c:pt>
                <c:pt idx="3">
                  <c:v>374.4</c:v>
                </c:pt>
                <c:pt idx="4">
                  <c:v>375.79999999999995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FC-4DD3-9FFA-6ADF33ADD033}"/>
            </c:ext>
          </c:extLst>
        </c:ser>
        <c:ser>
          <c:idx val="5"/>
          <c:order val="5"/>
          <c:tx>
            <c:strRef>
              <c:f>Analysis!$W$11</c:f>
              <c:strCache>
                <c:ptCount val="1"/>
                <c:pt idx="0">
                  <c:v>Housing expence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cat>
            <c:strRef>
              <c:f>Analysis!$Q$12:$Q$16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Analysis!$W$12:$W$16</c:f>
              <c:numCache>
                <c:formatCode>General</c:formatCode>
                <c:ptCount val="5"/>
                <c:pt idx="0">
                  <c:v>338.70000000000005</c:v>
                </c:pt>
                <c:pt idx="1">
                  <c:v>338</c:v>
                </c:pt>
                <c:pt idx="2">
                  <c:v>340.1</c:v>
                </c:pt>
                <c:pt idx="3">
                  <c:v>342.7</c:v>
                </c:pt>
                <c:pt idx="4">
                  <c:v>342.7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FC-4DD3-9FFA-6ADF33ADD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34003280"/>
        <c:axId val="1033998960"/>
        <c:axId val="0"/>
      </c:bar3DChart>
      <c:catAx>
        <c:axId val="103400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998960"/>
        <c:crosses val="autoZero"/>
        <c:auto val="1"/>
        <c:lblAlgn val="ctr"/>
        <c:lblOffset val="100"/>
        <c:noMultiLvlLbl val="0"/>
      </c:catAx>
      <c:valAx>
        <c:axId val="10339989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3400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Analysis!$R$19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Analysis!$Q$20:$Q$24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Analysis!$R$20:$R$24</c:f>
              <c:numCache>
                <c:formatCode>General</c:formatCode>
                <c:ptCount val="5"/>
                <c:pt idx="0">
                  <c:v>2292.6999999999998</c:v>
                </c:pt>
                <c:pt idx="1">
                  <c:v>2279.1</c:v>
                </c:pt>
                <c:pt idx="2">
                  <c:v>2279.1999999999998</c:v>
                </c:pt>
                <c:pt idx="3">
                  <c:v>2289.6000000000004</c:v>
                </c:pt>
                <c:pt idx="4">
                  <c:v>2306.9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A-46A1-8BAF-92C9DFDFF6C6}"/>
            </c:ext>
          </c:extLst>
        </c:ser>
        <c:ser>
          <c:idx val="1"/>
          <c:order val="1"/>
          <c:tx>
            <c:strRef>
              <c:f>Analysis!$S$19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Analysis!$Q$20:$Q$24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Analysis!$S$20:$S$24</c:f>
              <c:numCache>
                <c:formatCode>General</c:formatCode>
                <c:ptCount val="5"/>
                <c:pt idx="0">
                  <c:v>182</c:v>
                </c:pt>
                <c:pt idx="1">
                  <c:v>182.1</c:v>
                </c:pt>
                <c:pt idx="2">
                  <c:v>181.9</c:v>
                </c:pt>
                <c:pt idx="3">
                  <c:v>181.7</c:v>
                </c:pt>
                <c:pt idx="4">
                  <c:v>182.8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A-46A1-8BAF-92C9DFDFF6C6}"/>
            </c:ext>
          </c:extLst>
        </c:ser>
        <c:ser>
          <c:idx val="2"/>
          <c:order val="2"/>
          <c:tx>
            <c:strRef>
              <c:f>Analysis!$T$19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Analysis!$Q$20:$Q$24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Analysis!$T$20:$T$24</c:f>
              <c:numCache>
                <c:formatCode>General</c:formatCode>
                <c:ptCount val="5"/>
                <c:pt idx="0">
                  <c:v>163.6</c:v>
                </c:pt>
                <c:pt idx="1">
                  <c:v>164.2</c:v>
                </c:pt>
                <c:pt idx="2">
                  <c:v>164.2</c:v>
                </c:pt>
                <c:pt idx="3">
                  <c:v>164.5</c:v>
                </c:pt>
                <c:pt idx="4">
                  <c:v>164.8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6A-46A1-8BAF-92C9DFDFF6C6}"/>
            </c:ext>
          </c:extLst>
        </c:ser>
        <c:ser>
          <c:idx val="3"/>
          <c:order val="3"/>
          <c:tx>
            <c:strRef>
              <c:f>Analysis!$U$19</c:f>
              <c:strCache>
                <c:ptCount val="1"/>
                <c:pt idx="0">
                  <c:v>Personal Care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Analysis!$Q$20:$Q$24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Analysis!$U$20:$U$24</c:f>
              <c:numCache>
                <c:formatCode>General</c:formatCode>
                <c:ptCount val="5"/>
                <c:pt idx="0">
                  <c:v>1251</c:v>
                </c:pt>
                <c:pt idx="1">
                  <c:v>1260.7</c:v>
                </c:pt>
                <c:pt idx="2">
                  <c:v>1260.5999999999999</c:v>
                </c:pt>
                <c:pt idx="3">
                  <c:v>1267.9000000000001</c:v>
                </c:pt>
                <c:pt idx="4">
                  <c:v>1272.3999999999999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6A-46A1-8BAF-92C9DFDFF6C6}"/>
            </c:ext>
          </c:extLst>
        </c:ser>
        <c:ser>
          <c:idx val="4"/>
          <c:order val="4"/>
          <c:tx>
            <c:strRef>
              <c:f>Analysis!$V$19</c:f>
              <c:strCache>
                <c:ptCount val="1"/>
                <c:pt idx="0">
                  <c:v>Miscellaneous2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cat>
            <c:strRef>
              <c:f>Analysis!$Q$20:$Q$24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Analysis!$V$20:$V$24</c:f>
              <c:numCache>
                <c:formatCode>General</c:formatCode>
                <c:ptCount val="5"/>
                <c:pt idx="0">
                  <c:v>371</c:v>
                </c:pt>
                <c:pt idx="1">
                  <c:v>373.6</c:v>
                </c:pt>
                <c:pt idx="2">
                  <c:v>373.6</c:v>
                </c:pt>
                <c:pt idx="3">
                  <c:v>375.6</c:v>
                </c:pt>
                <c:pt idx="4">
                  <c:v>376.7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6A-46A1-8BAF-92C9DFDFF6C6}"/>
            </c:ext>
          </c:extLst>
        </c:ser>
        <c:ser>
          <c:idx val="5"/>
          <c:order val="5"/>
          <c:tx>
            <c:strRef>
              <c:f>Analysis!$W$19</c:f>
              <c:strCache>
                <c:ptCount val="1"/>
                <c:pt idx="0">
                  <c:v>Housing expence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cat>
            <c:strRef>
              <c:f>Analysis!$Q$20:$Q$24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Analysis!$W$20:$W$24</c:f>
              <c:numCache>
                <c:formatCode>General</c:formatCode>
                <c:ptCount val="5"/>
                <c:pt idx="0">
                  <c:v>343.20000000000005</c:v>
                </c:pt>
                <c:pt idx="1">
                  <c:v>342.79999999999995</c:v>
                </c:pt>
                <c:pt idx="2">
                  <c:v>345</c:v>
                </c:pt>
                <c:pt idx="3">
                  <c:v>347.7</c:v>
                </c:pt>
                <c:pt idx="4">
                  <c:v>347.7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6A-46A1-8BAF-92C9DFDFF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38118304"/>
        <c:axId val="1238118784"/>
        <c:axId val="0"/>
      </c:bar3DChart>
      <c:catAx>
        <c:axId val="12381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18784"/>
        <c:crosses val="autoZero"/>
        <c:auto val="1"/>
        <c:lblAlgn val="ctr"/>
        <c:lblOffset val="100"/>
        <c:noMultiLvlLbl val="0"/>
      </c:catAx>
      <c:valAx>
        <c:axId val="12381187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381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Rural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Analysis!$Y$3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Analysis!$X$4:$X$8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Analysis!$Y$4:$Y$8</c:f>
              <c:numCache>
                <c:formatCode>0.00%</c:formatCode>
                <c:ptCount val="5"/>
                <c:pt idx="0">
                  <c:v>0.2006397412914338</c:v>
                </c:pt>
                <c:pt idx="1">
                  <c:v>0.19910190164856406</c:v>
                </c:pt>
                <c:pt idx="2">
                  <c:v>0.19911068930366621</c:v>
                </c:pt>
                <c:pt idx="3">
                  <c:v>0.19984885233224364</c:v>
                </c:pt>
                <c:pt idx="4">
                  <c:v>0.20129881542409228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4-40A4-8D38-04E5EF08A62C}"/>
            </c:ext>
          </c:extLst>
        </c:ser>
        <c:ser>
          <c:idx val="1"/>
          <c:order val="1"/>
          <c:tx>
            <c:strRef>
              <c:f>Analysis!$Z$3</c:f>
              <c:strCache>
                <c:ptCount val="1"/>
                <c:pt idx="0">
                  <c:v>Energy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Analysis!$X$4:$X$8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Analysis!$Z$4:$Z$8</c:f>
              <c:numCache>
                <c:formatCode>0.00%</c:formatCode>
                <c:ptCount val="5"/>
                <c:pt idx="0">
                  <c:v>0.2012744451768842</c:v>
                </c:pt>
                <c:pt idx="1">
                  <c:v>0.19951658976049222</c:v>
                </c:pt>
                <c:pt idx="2">
                  <c:v>0.19929685783344323</c:v>
                </c:pt>
                <c:pt idx="3">
                  <c:v>0.19940672379696772</c:v>
                </c:pt>
                <c:pt idx="4">
                  <c:v>0.20050538343221272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4-40A4-8D38-04E5EF08A62C}"/>
            </c:ext>
          </c:extLst>
        </c:ser>
        <c:ser>
          <c:idx val="2"/>
          <c:order val="2"/>
          <c:tx>
            <c:strRef>
              <c:f>Analysis!$AA$3</c:f>
              <c:strCache>
                <c:ptCount val="1"/>
                <c:pt idx="0">
                  <c:v>Transportation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Analysis!$X$4:$X$8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Analysis!$AA$4:$AA$8</c:f>
              <c:numCache>
                <c:formatCode>0.00%</c:formatCode>
                <c:ptCount val="5"/>
                <c:pt idx="0">
                  <c:v>0.19898260972435822</c:v>
                </c:pt>
                <c:pt idx="1">
                  <c:v>0.19992901928309478</c:v>
                </c:pt>
                <c:pt idx="2">
                  <c:v>0.19992901928309478</c:v>
                </c:pt>
                <c:pt idx="3">
                  <c:v>0.20040222406246305</c:v>
                </c:pt>
                <c:pt idx="4">
                  <c:v>0.20075712764698922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4-40A4-8D38-04E5EF08A62C}"/>
            </c:ext>
          </c:extLst>
        </c:ser>
        <c:ser>
          <c:idx val="3"/>
          <c:order val="3"/>
          <c:tx>
            <c:strRef>
              <c:f>Analysis!$AB$3</c:f>
              <c:strCache>
                <c:ptCount val="1"/>
                <c:pt idx="0">
                  <c:v>Personal Care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Analysis!$X$4:$X$8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Analysis!$AB$4:$AB$8</c:f>
              <c:numCache>
                <c:formatCode>0.00%</c:formatCode>
                <c:ptCount val="5"/>
                <c:pt idx="0">
                  <c:v>0.19836842514179162</c:v>
                </c:pt>
                <c:pt idx="1">
                  <c:v>0.19970476264470516</c:v>
                </c:pt>
                <c:pt idx="2">
                  <c:v>0.19970476264470516</c:v>
                </c:pt>
                <c:pt idx="3">
                  <c:v>0.20073032398415044</c:v>
                </c:pt>
                <c:pt idx="4">
                  <c:v>0.20149172558464767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F4-40A4-8D38-04E5EF08A62C}"/>
            </c:ext>
          </c:extLst>
        </c:ser>
        <c:ser>
          <c:idx val="4"/>
          <c:order val="4"/>
          <c:tx>
            <c:strRef>
              <c:f>Analysis!$AC$3</c:f>
              <c:strCache>
                <c:ptCount val="1"/>
                <c:pt idx="0">
                  <c:v>Miscellaneous2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Analysis!$X$4:$X$8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Analysis!$AC$4:$AC$8</c:f>
              <c:numCache>
                <c:formatCode>0.00%</c:formatCode>
                <c:ptCount val="5"/>
                <c:pt idx="0">
                  <c:v>0.19822689387906775</c:v>
                </c:pt>
                <c:pt idx="1">
                  <c:v>0.19971333014811274</c:v>
                </c:pt>
                <c:pt idx="2">
                  <c:v>0.19976641715772148</c:v>
                </c:pt>
                <c:pt idx="3">
                  <c:v>0.20088124435950519</c:v>
                </c:pt>
                <c:pt idx="4">
                  <c:v>0.20141211445559268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F4-40A4-8D38-04E5EF08A62C}"/>
            </c:ext>
          </c:extLst>
        </c:ser>
        <c:ser>
          <c:idx val="5"/>
          <c:order val="5"/>
          <c:tx>
            <c:strRef>
              <c:f>Analysis!$AD$3</c:f>
              <c:strCache>
                <c:ptCount val="1"/>
                <c:pt idx="0">
                  <c:v>Housing expence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Analysis!$X$4:$X$8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Analysis!$AD$4:$AD$8</c:f>
              <c:numCache>
                <c:formatCode>0.00%</c:formatCode>
                <c:ptCount val="5"/>
                <c:pt idx="0">
                  <c:v>0.19888790597750539</c:v>
                </c:pt>
                <c:pt idx="1">
                  <c:v>0.19945659042082647</c:v>
                </c:pt>
                <c:pt idx="2">
                  <c:v>0.1999620877037786</c:v>
                </c:pt>
                <c:pt idx="3">
                  <c:v>0.2008467079489448</c:v>
                </c:pt>
                <c:pt idx="4">
                  <c:v>0.2008467079489448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F4-40A4-8D38-04E5EF08A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5976112"/>
        <c:axId val="1055979952"/>
        <c:axId val="0"/>
      </c:bar3DChart>
      <c:catAx>
        <c:axId val="105597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79952"/>
        <c:crosses val="autoZero"/>
        <c:auto val="1"/>
        <c:lblAlgn val="ctr"/>
        <c:lblOffset val="100"/>
        <c:noMultiLvlLbl val="0"/>
      </c:catAx>
      <c:valAx>
        <c:axId val="10559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7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Urban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Analysis!$Y$11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Analysis!$X$12:$X$16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Analysis!$Y$12:$Y$16</c:f>
              <c:numCache>
                <c:formatCode>0.00%</c:formatCode>
                <c:ptCount val="5"/>
                <c:pt idx="0">
                  <c:v>0.19967846770847741</c:v>
                </c:pt>
                <c:pt idx="1">
                  <c:v>0.19907343382657999</c:v>
                </c:pt>
                <c:pt idx="2">
                  <c:v>0.19909072050891993</c:v>
                </c:pt>
                <c:pt idx="3">
                  <c:v>0.20032671829622462</c:v>
                </c:pt>
                <c:pt idx="4">
                  <c:v>0.20183065965979807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A-4294-9629-7B6549D828D8}"/>
            </c:ext>
          </c:extLst>
        </c:ser>
        <c:ser>
          <c:idx val="1"/>
          <c:order val="1"/>
          <c:tx>
            <c:strRef>
              <c:f>Analysis!$Z$11</c:f>
              <c:strCache>
                <c:ptCount val="1"/>
                <c:pt idx="0">
                  <c:v>Energy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Analysis!$X$12:$X$16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Analysis!$Z$12:$Z$16</c:f>
              <c:numCache>
                <c:formatCode>0.00%</c:formatCode>
                <c:ptCount val="5"/>
                <c:pt idx="0">
                  <c:v>0.19769484083424807</c:v>
                </c:pt>
                <c:pt idx="1">
                  <c:v>0.20065861690450057</c:v>
                </c:pt>
                <c:pt idx="2">
                  <c:v>0.2004390779363337</c:v>
                </c:pt>
                <c:pt idx="3">
                  <c:v>0.19989023051591656</c:v>
                </c:pt>
                <c:pt idx="4">
                  <c:v>0.2013172338090011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A-4294-9629-7B6549D828D8}"/>
            </c:ext>
          </c:extLst>
        </c:ser>
        <c:ser>
          <c:idx val="2"/>
          <c:order val="2"/>
          <c:tx>
            <c:strRef>
              <c:f>Analysis!$AA$11</c:f>
              <c:strCache>
                <c:ptCount val="1"/>
                <c:pt idx="0">
                  <c:v>Transportation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Analysis!$X$12:$X$16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Analysis!$AA$12:$AA$16</c:f>
              <c:numCache>
                <c:formatCode>0.00%</c:formatCode>
                <c:ptCount val="5"/>
                <c:pt idx="0">
                  <c:v>0.19947473736868435</c:v>
                </c:pt>
                <c:pt idx="1">
                  <c:v>0.19984992496248125</c:v>
                </c:pt>
                <c:pt idx="2">
                  <c:v>0.19984992496248125</c:v>
                </c:pt>
                <c:pt idx="3">
                  <c:v>0.20022511255627812</c:v>
                </c:pt>
                <c:pt idx="4">
                  <c:v>0.20060030015007504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AA-4294-9629-7B6549D828D8}"/>
            </c:ext>
          </c:extLst>
        </c:ser>
        <c:ser>
          <c:idx val="3"/>
          <c:order val="3"/>
          <c:tx>
            <c:strRef>
              <c:f>Analysis!$AB$11</c:f>
              <c:strCache>
                <c:ptCount val="1"/>
                <c:pt idx="0">
                  <c:v>Personal Care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Analysis!$X$12:$X$16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Analysis!$AB$12:$AB$16</c:f>
              <c:numCache>
                <c:formatCode>0.00%</c:formatCode>
                <c:ptCount val="5"/>
                <c:pt idx="0">
                  <c:v>0.19791277207926264</c:v>
                </c:pt>
                <c:pt idx="1">
                  <c:v>0.19971715135653559</c:v>
                </c:pt>
                <c:pt idx="2">
                  <c:v>0.19971715135653559</c:v>
                </c:pt>
                <c:pt idx="3">
                  <c:v>0.20100134922054066</c:v>
                </c:pt>
                <c:pt idx="4">
                  <c:v>0.20165157598712549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AA-4294-9629-7B6549D828D8}"/>
            </c:ext>
          </c:extLst>
        </c:ser>
        <c:ser>
          <c:idx val="4"/>
          <c:order val="4"/>
          <c:tx>
            <c:strRef>
              <c:f>Analysis!$AC$11</c:f>
              <c:strCache>
                <c:ptCount val="1"/>
                <c:pt idx="0">
                  <c:v>Miscellaneous2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Analysis!$X$12:$X$16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Analysis!$AC$12:$AC$16</c:f>
              <c:numCache>
                <c:formatCode>0.00%</c:formatCode>
                <c:ptCount val="5"/>
                <c:pt idx="0">
                  <c:v>0.1985424146615937</c:v>
                </c:pt>
                <c:pt idx="1">
                  <c:v>0.19972134397942232</c:v>
                </c:pt>
                <c:pt idx="2">
                  <c:v>0.19972134397942232</c:v>
                </c:pt>
                <c:pt idx="3">
                  <c:v>0.20063233481592624</c:v>
                </c:pt>
                <c:pt idx="4">
                  <c:v>0.20138256256363535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AA-4294-9629-7B6549D828D8}"/>
            </c:ext>
          </c:extLst>
        </c:ser>
        <c:ser>
          <c:idx val="5"/>
          <c:order val="5"/>
          <c:tx>
            <c:strRef>
              <c:f>Analysis!$AD$11</c:f>
              <c:strCache>
                <c:ptCount val="1"/>
                <c:pt idx="0">
                  <c:v>Housing expence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Analysis!$X$12:$X$16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Analysis!$AD$12:$AD$16</c:f>
              <c:numCache>
                <c:formatCode>0.00%</c:formatCode>
                <c:ptCount val="5"/>
                <c:pt idx="0">
                  <c:v>0.19897779344377867</c:v>
                </c:pt>
                <c:pt idx="1">
                  <c:v>0.19856656092116085</c:v>
                </c:pt>
                <c:pt idx="2">
                  <c:v>0.19980025848901423</c:v>
                </c:pt>
                <c:pt idx="3">
                  <c:v>0.20132769357302313</c:v>
                </c:pt>
                <c:pt idx="4">
                  <c:v>0.20132769357302313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AA-4294-9629-7B6549D82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1416400"/>
        <c:axId val="141425520"/>
        <c:axId val="0"/>
      </c:bar3DChart>
      <c:catAx>
        <c:axId val="1414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5520"/>
        <c:crosses val="autoZero"/>
        <c:auto val="1"/>
        <c:lblAlgn val="ctr"/>
        <c:lblOffset val="100"/>
        <c:noMultiLvlLbl val="0"/>
      </c:catAx>
      <c:valAx>
        <c:axId val="1414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Analysis!$Y$19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Analysis!$X$20:$X$24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Analysis!$Y$20:$Y$24</c:f>
              <c:numCache>
                <c:formatCode>0.00%</c:formatCode>
                <c:ptCount val="5"/>
                <c:pt idx="0">
                  <c:v>0.20027953701681592</c:v>
                </c:pt>
                <c:pt idx="1">
                  <c:v>0.19909150469534836</c:v>
                </c:pt>
                <c:pt idx="2">
                  <c:v>0.19910024022712383</c:v>
                </c:pt>
                <c:pt idx="3">
                  <c:v>0.20000873553177556</c:v>
                </c:pt>
                <c:pt idx="4">
                  <c:v>0.20151998252893649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C-46D5-9659-4948D88170A7}"/>
            </c:ext>
          </c:extLst>
        </c:ser>
        <c:ser>
          <c:idx val="1"/>
          <c:order val="1"/>
          <c:tx>
            <c:strRef>
              <c:f>Analysis!$Z$19</c:f>
              <c:strCache>
                <c:ptCount val="1"/>
                <c:pt idx="0">
                  <c:v>Energy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Analysis!$X$20:$X$24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Analysis!$Z$20:$Z$24</c:f>
              <c:numCache>
                <c:formatCode>0.00%</c:formatCode>
                <c:ptCount val="5"/>
                <c:pt idx="0">
                  <c:v>0.19989017023613398</c:v>
                </c:pt>
                <c:pt idx="1">
                  <c:v>0.19999999999999998</c:v>
                </c:pt>
                <c:pt idx="2">
                  <c:v>0.199780340472268</c:v>
                </c:pt>
                <c:pt idx="3">
                  <c:v>0.19956068094453597</c:v>
                </c:pt>
                <c:pt idx="4">
                  <c:v>0.20076880834706207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C-46D5-9659-4948D88170A7}"/>
            </c:ext>
          </c:extLst>
        </c:ser>
        <c:ser>
          <c:idx val="2"/>
          <c:order val="2"/>
          <c:tx>
            <c:strRef>
              <c:f>Analysis!$AA$19</c:f>
              <c:strCache>
                <c:ptCount val="1"/>
                <c:pt idx="0">
                  <c:v>Transportation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Analysis!$X$20:$X$24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Analysis!$AA$20:$AA$24</c:f>
              <c:numCache>
                <c:formatCode>0.00%</c:formatCode>
                <c:ptCount val="5"/>
                <c:pt idx="0">
                  <c:v>0.19919639595762814</c:v>
                </c:pt>
                <c:pt idx="1">
                  <c:v>0.19992694508705711</c:v>
                </c:pt>
                <c:pt idx="2">
                  <c:v>0.19992694508705711</c:v>
                </c:pt>
                <c:pt idx="3">
                  <c:v>0.2002922196517716</c:v>
                </c:pt>
                <c:pt idx="4">
                  <c:v>0.20065749421648607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C-46D5-9659-4948D88170A7}"/>
            </c:ext>
          </c:extLst>
        </c:ser>
        <c:ser>
          <c:idx val="3"/>
          <c:order val="3"/>
          <c:tx>
            <c:strRef>
              <c:f>Analysis!$AB$19</c:f>
              <c:strCache>
                <c:ptCount val="1"/>
                <c:pt idx="0">
                  <c:v>Personal Care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Analysis!$X$20:$X$24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Analysis!$AB$20:$AB$24</c:f>
              <c:numCache>
                <c:formatCode>0.00%</c:formatCode>
                <c:ptCount val="5"/>
                <c:pt idx="0">
                  <c:v>0.19817507841459939</c:v>
                </c:pt>
                <c:pt idx="1">
                  <c:v>0.19971168773563985</c:v>
                </c:pt>
                <c:pt idx="2">
                  <c:v>0.19969584640243324</c:v>
                </c:pt>
                <c:pt idx="3">
                  <c:v>0.20085226372651527</c:v>
                </c:pt>
                <c:pt idx="4">
                  <c:v>0.20156512372081234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0C-46D5-9659-4948D88170A7}"/>
            </c:ext>
          </c:extLst>
        </c:ser>
        <c:ser>
          <c:idx val="4"/>
          <c:order val="4"/>
          <c:tx>
            <c:strRef>
              <c:f>Analysis!$AC$19</c:f>
              <c:strCache>
                <c:ptCount val="1"/>
                <c:pt idx="0">
                  <c:v>Miscellaneous2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Analysis!$X$20:$X$24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Analysis!$AC$20:$AC$24</c:f>
              <c:numCache>
                <c:formatCode>0.00%</c:formatCode>
                <c:ptCount val="5"/>
                <c:pt idx="0">
                  <c:v>0.19834268912055597</c:v>
                </c:pt>
                <c:pt idx="1">
                  <c:v>0.19973269179363806</c:v>
                </c:pt>
                <c:pt idx="2">
                  <c:v>0.19973269179363806</c:v>
                </c:pt>
                <c:pt idx="3">
                  <c:v>0.2008019246190858</c:v>
                </c:pt>
                <c:pt idx="4">
                  <c:v>0.20139000267308202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C-46D5-9659-4948D88170A7}"/>
            </c:ext>
          </c:extLst>
        </c:ser>
        <c:ser>
          <c:idx val="5"/>
          <c:order val="5"/>
          <c:tx>
            <c:strRef>
              <c:f>Analysis!$AD$19</c:f>
              <c:strCache>
                <c:ptCount val="1"/>
                <c:pt idx="0">
                  <c:v>Housing expence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Analysis!$X$20:$X$24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Analysis!$AD$20:$AD$24</c:f>
              <c:numCache>
                <c:formatCode>0.00%</c:formatCode>
                <c:ptCount val="5"/>
                <c:pt idx="0">
                  <c:v>0.1987951807228916</c:v>
                </c:pt>
                <c:pt idx="1">
                  <c:v>0.19856348470806298</c:v>
                </c:pt>
                <c:pt idx="2">
                  <c:v>0.19983781278962001</c:v>
                </c:pt>
                <c:pt idx="3">
                  <c:v>0.20140176088971268</c:v>
                </c:pt>
                <c:pt idx="4">
                  <c:v>0.20140176088971268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0C-46D5-9659-4948D8817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8191072"/>
        <c:axId val="137604944"/>
        <c:axId val="0"/>
      </c:bar3DChart>
      <c:catAx>
        <c:axId val="11681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04944"/>
        <c:crosses val="autoZero"/>
        <c:auto val="1"/>
        <c:lblAlgn val="ctr"/>
        <c:lblOffset val="100"/>
        <c:noMultiLvlLbl val="0"/>
      </c:catAx>
      <c:valAx>
        <c:axId val="13760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95067804024497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Inflation!$V$1</c:f>
              <c:strCache>
                <c:ptCount val="1"/>
                <c:pt idx="0">
                  <c:v>Inflation</c:v>
                </c:pt>
              </c:strCache>
            </c:strRef>
          </c:tx>
          <c:spPr>
            <a:ln w="952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tx2">
                    <a:lumMod val="25000"/>
                    <a:lumOff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Inflation!$N$2:$N$8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Inflation!$V$2:$V$8</c:f>
              <c:numCache>
                <c:formatCode>General</c:formatCode>
                <c:ptCount val="7"/>
                <c:pt idx="0">
                  <c:v>0</c:v>
                </c:pt>
                <c:pt idx="1">
                  <c:v>1565.3</c:v>
                </c:pt>
                <c:pt idx="2">
                  <c:v>1486</c:v>
                </c:pt>
                <c:pt idx="3">
                  <c:v>1433.8000000000002</c:v>
                </c:pt>
                <c:pt idx="4">
                  <c:v>1837.5000000000002</c:v>
                </c:pt>
                <c:pt idx="5">
                  <c:v>1965.7999999999997</c:v>
                </c:pt>
                <c:pt idx="6">
                  <c:v>788.1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8-485F-B631-2FE8596A79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45067135"/>
        <c:axId val="1445050815"/>
      </c:scatterChart>
      <c:valAx>
        <c:axId val="144506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50815"/>
        <c:crosses val="autoZero"/>
        <c:crossBetween val="midCat"/>
      </c:valAx>
      <c:valAx>
        <c:axId val="144505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6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Inflation!$W$1</c:f>
              <c:strCache>
                <c:ptCount val="1"/>
                <c:pt idx="0">
                  <c:v>Percentage</c:v>
                </c:pt>
              </c:strCache>
            </c:strRef>
          </c:tx>
          <c:spPr>
            <a:ln w="952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lumMod val="40000"/>
                    <a:lumOff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Inflation!$N$2:$N$8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Inflation!$W$2:$W$8</c:f>
              <c:numCache>
                <c:formatCode>0.00%</c:formatCode>
                <c:ptCount val="7"/>
                <c:pt idx="1">
                  <c:v>0</c:v>
                </c:pt>
                <c:pt idx="2">
                  <c:v>0.94933878489746382</c:v>
                </c:pt>
                <c:pt idx="3">
                  <c:v>0.96487213997308219</c:v>
                </c:pt>
                <c:pt idx="4">
                  <c:v>1.2815594922583344</c:v>
                </c:pt>
                <c:pt idx="5">
                  <c:v>1.0698231292517004</c:v>
                </c:pt>
                <c:pt idx="6">
                  <c:v>0.40090548377251001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0-40EC-A8E4-D8889491EC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53865472"/>
        <c:axId val="1353863072"/>
      </c:scatterChart>
      <c:valAx>
        <c:axId val="135386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863072"/>
        <c:crosses val="autoZero"/>
        <c:crossBetween val="midCat"/>
      </c:valAx>
      <c:valAx>
        <c:axId val="13538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86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Inflation!$X$1</c:f>
              <c:strCache>
                <c:ptCount val="1"/>
                <c:pt idx="0">
                  <c:v>Difference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Inflation!$N$2:$N$8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xVal>
          <c:yVal>
            <c:numRef>
              <c:f>Inflation!$X$2:$X$8</c:f>
              <c:numCache>
                <c:formatCode>0.00%</c:formatCode>
                <c:ptCount val="7"/>
                <c:pt idx="0">
                  <c:v>0</c:v>
                </c:pt>
                <c:pt idx="1">
                  <c:v>3.9513108614232184E-2</c:v>
                </c:pt>
                <c:pt idx="2">
                  <c:v>-9.987515605493158E-3</c:v>
                </c:pt>
                <c:pt idx="3">
                  <c:v>-4.2571785268414319E-2</c:v>
                </c:pt>
                <c:pt idx="4">
                  <c:v>0.20942571785268438</c:v>
                </c:pt>
                <c:pt idx="5">
                  <c:v>0.28951310861423196</c:v>
                </c:pt>
                <c:pt idx="6">
                  <c:v>-0.4456304619225967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E-4E1D-BD29-C0FE2EC79C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77203903"/>
        <c:axId val="1577200543"/>
      </c:scatterChart>
      <c:valAx>
        <c:axId val="157720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00543"/>
        <c:crosses val="autoZero"/>
        <c:crossBetween val="midCat"/>
      </c:valAx>
      <c:valAx>
        <c:axId val="157720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0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37985564304461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'2022-2023'!$Z$3:$Z$4</c:f>
              <c:strCache>
                <c:ptCount val="2"/>
                <c:pt idx="0">
                  <c:v>Absolute Change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  <a:alpha val="97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rgbClr val="0070C0"/>
              </a:solidFill>
              <a:ln w="6350">
                <a:solidFill>
                  <a:srgbClr val="002060"/>
                </a:soli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7"/>
              <c:layout>
                <c:manualLayout>
                  <c:x val="-3.8868110236220575E-2"/>
                  <c:y val="-0.120335739282589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4F-4212-8032-3F0F6A6410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'2022-2023'!$W$5:$W$15</c:f>
              <c:strCache>
                <c:ptCount val="11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  <c:pt idx="7">
                  <c:v>February</c:v>
                </c:pt>
                <c:pt idx="8">
                  <c:v>March</c:v>
                </c:pt>
                <c:pt idx="9">
                  <c:v>April</c:v>
                </c:pt>
                <c:pt idx="10">
                  <c:v>May</c:v>
                </c:pt>
              </c:strCache>
            </c:strRef>
          </c:cat>
          <c:val>
            <c:numRef>
              <c:f>'2022-2023'!$Z$5:$Z$15</c:f>
              <c:numCache>
                <c:formatCode>0.00%</c:formatCode>
                <c:ptCount val="11"/>
                <c:pt idx="0">
                  <c:v>0.19452672531942572</c:v>
                </c:pt>
                <c:pt idx="1">
                  <c:v>6.6564849133568138E-2</c:v>
                </c:pt>
                <c:pt idx="2">
                  <c:v>0.38763833534242625</c:v>
                </c:pt>
                <c:pt idx="3">
                  <c:v>0.20341421260254566</c:v>
                </c:pt>
                <c:pt idx="4">
                  <c:v>0.74077910440767625</c:v>
                </c:pt>
                <c:pt idx="5">
                  <c:v>0.56165573072977504</c:v>
                </c:pt>
                <c:pt idx="6">
                  <c:v>0.99070778947731142</c:v>
                </c:pt>
                <c:pt idx="7">
                  <c:v>1.0004744504818515</c:v>
                </c:pt>
                <c:pt idx="8">
                  <c:v>0.59757476890905625</c:v>
                </c:pt>
                <c:pt idx="9">
                  <c:v>0.45191275940258602</c:v>
                </c:pt>
                <c:pt idx="10">
                  <c:v>0.29929003985604152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4F-4212-8032-3F0F6A6410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6327855"/>
        <c:axId val="286334095"/>
      </c:lineChart>
      <c:catAx>
        <c:axId val="28632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34095"/>
        <c:crosses val="autoZero"/>
        <c:auto val="1"/>
        <c:lblAlgn val="ctr"/>
        <c:lblOffset val="100"/>
        <c:noMultiLvlLbl val="0"/>
      </c:catAx>
      <c:valAx>
        <c:axId val="2863340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2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997660674883829E-2"/>
          <c:y val="0.11130885412029429"/>
          <c:w val="0.88841206201200851"/>
          <c:h val="0.58776171499094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'2022-2023'!$U$37</c:f>
              <c:strCache>
                <c:ptCount val="1"/>
                <c:pt idx="0">
                  <c:v>Contribution</c:v>
                </c:pt>
              </c:strCache>
            </c:strRef>
          </c:tx>
          <c:spPr>
            <a:noFill/>
            <a:ln w="12700" cap="rnd" cmpd="sng" algn="ctr">
              <a:solidFill>
                <a:schemeClr val="accent4">
                  <a:lumMod val="60000"/>
                  <a:lumOff val="40000"/>
                  <a:alpha val="55000"/>
                </a:schemeClr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0"/>
              <c:layout>
                <c:manualLayout>
                  <c:x val="-3.3557696354523943E-2"/>
                  <c:y val="-0.13802097965796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4C-4B71-A672-DD602B07638A}"/>
                </c:ext>
              </c:extLst>
            </c:dLbl>
            <c:dLbl>
              <c:idx val="1"/>
              <c:layout>
                <c:manualLayout>
                  <c:x val="-1.4093017208969339E-2"/>
                  <c:y val="-2.9396530945481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4C-4B71-A672-DD602B07638A}"/>
                </c:ext>
              </c:extLst>
            </c:dLbl>
            <c:dLbl>
              <c:idx val="3"/>
              <c:layout>
                <c:manualLayout>
                  <c:x val="-1.5265291966542146E-3"/>
                  <c:y val="-1.5772218929924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4C-4B71-A672-DD602B07638A}"/>
                </c:ext>
              </c:extLst>
            </c:dLbl>
            <c:dLbl>
              <c:idx val="4"/>
              <c:layout>
                <c:manualLayout>
                  <c:x val="-1.7231474431891821E-2"/>
                  <c:y val="-1.1301339451569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4C-4B71-A672-DD602B07638A}"/>
                </c:ext>
              </c:extLst>
            </c:dLbl>
            <c:dLbl>
              <c:idx val="5"/>
              <c:layout>
                <c:manualLayout>
                  <c:x val="-4.661389621811781E-2"/>
                  <c:y val="-7.5658806835171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4C-4B71-A672-DD602B07638A}"/>
                </c:ext>
              </c:extLst>
            </c:dLbl>
            <c:dLbl>
              <c:idx val="6"/>
              <c:layout>
                <c:manualLayout>
                  <c:x val="8.1661374953306928E-2"/>
                  <c:y val="4.142857919545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64C-4B71-A672-DD602B07638A}"/>
                </c:ext>
              </c:extLst>
            </c:dLbl>
            <c:dLbl>
              <c:idx val="7"/>
              <c:layout>
                <c:manualLayout>
                  <c:x val="-2.001748566153557E-3"/>
                  <c:y val="-4.3641003057305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4C-4B71-A672-DD602B07638A}"/>
                </c:ext>
              </c:extLst>
            </c:dLbl>
            <c:dLbl>
              <c:idx val="8"/>
              <c:layout>
                <c:manualLayout>
                  <c:x val="-6.5256999125109363E-2"/>
                  <c:y val="-0.167408186567538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4C-4B71-A672-DD602B07638A}"/>
                </c:ext>
              </c:extLst>
            </c:dLbl>
            <c:dLbl>
              <c:idx val="9"/>
              <c:layout>
                <c:manualLayout>
                  <c:x val="-3.2701443569553804E-2"/>
                  <c:y val="-0.14447085749127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4C-4B71-A672-DD602B07638A}"/>
                </c:ext>
              </c:extLst>
            </c:dLbl>
            <c:dLbl>
              <c:idx val="10"/>
              <c:layout>
                <c:manualLayout>
                  <c:x val="-1.7523839836806787E-3"/>
                  <c:y val="-1.580194022033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64C-4B71-A672-DD602B07638A}"/>
                </c:ext>
              </c:extLst>
            </c:dLbl>
            <c:dLbl>
              <c:idx val="11"/>
              <c:layout>
                <c:manualLayout>
                  <c:x val="-4.1544621692227134E-2"/>
                  <c:y val="-0.126011022249285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64C-4B71-A672-DD602B07638A}"/>
                </c:ext>
              </c:extLst>
            </c:dLbl>
            <c:dLbl>
              <c:idx val="12"/>
              <c:layout>
                <c:manualLayout>
                  <c:x val="-3.2736284998198584E-2"/>
                  <c:y val="-0.222489230562910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64C-4B71-A672-DD602B0763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'2022-2023'!$T$38:$T$50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'2022-2023'!$U$38:$U$50</c:f>
              <c:numCache>
                <c:formatCode>0.00%</c:formatCode>
                <c:ptCount val="13"/>
                <c:pt idx="0">
                  <c:v>12.304331882110967</c:v>
                </c:pt>
                <c:pt idx="1">
                  <c:v>14.387554504785195</c:v>
                </c:pt>
                <c:pt idx="2">
                  <c:v>35.501155786958236</c:v>
                </c:pt>
                <c:pt idx="3">
                  <c:v>7.9749422148858304</c:v>
                </c:pt>
                <c:pt idx="4">
                  <c:v>19.029273962557721</c:v>
                </c:pt>
                <c:pt idx="5">
                  <c:v>25.884043570736083</c:v>
                </c:pt>
                <c:pt idx="6">
                  <c:v>40.372197675218267</c:v>
                </c:pt>
                <c:pt idx="7">
                  <c:v>6.692113783644567</c:v>
                </c:pt>
                <c:pt idx="8">
                  <c:v>5.7894228415928781</c:v>
                </c:pt>
                <c:pt idx="9">
                  <c:v>15.412549550326261</c:v>
                </c:pt>
                <c:pt idx="10">
                  <c:v>3.2287590315394548</c:v>
                </c:pt>
                <c:pt idx="11">
                  <c:v>5.4661891133482294</c:v>
                </c:pt>
                <c:pt idx="12">
                  <c:v>6.5406992969881559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C-4B71-A672-DD602B0763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axId val="999490383"/>
        <c:axId val="999486543"/>
      </c:barChart>
      <c:catAx>
        <c:axId val="9994903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86543"/>
        <c:crosses val="autoZero"/>
        <c:auto val="0"/>
        <c:lblAlgn val="ctr"/>
        <c:lblOffset val="100"/>
        <c:noMultiLvlLbl val="0"/>
      </c:catAx>
      <c:valAx>
        <c:axId val="9994865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99949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727034120735"/>
          <c:y val="0.14913196078557966"/>
          <c:w val="0.8394606299212598"/>
          <c:h val="0.474793715172498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'2022-2023'!$U$52</c:f>
              <c:strCache>
                <c:ptCount val="1"/>
                <c:pt idx="0">
                  <c:v>Average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8.3333333333333332E-3"/>
                  <c:y val="-0.185565447924273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66A-47D2-B8D4-36504D039E00}"/>
                </c:ext>
              </c:extLst>
            </c:dLbl>
            <c:dLbl>
              <c:idx val="1"/>
              <c:layout>
                <c:manualLayout>
                  <c:x val="5.5555555555555297E-3"/>
                  <c:y val="-0.103571412794943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66A-47D2-B8D4-36504D039E00}"/>
                </c:ext>
              </c:extLst>
            </c:dLbl>
            <c:dLbl>
              <c:idx val="2"/>
              <c:layout>
                <c:manualLayout>
                  <c:x val="-5.5555555555555809E-3"/>
                  <c:y val="-0.224404727722376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66A-47D2-B8D4-36504D039E00}"/>
                </c:ext>
              </c:extLst>
            </c:dLbl>
            <c:dLbl>
              <c:idx val="3"/>
              <c:layout>
                <c:manualLayout>
                  <c:x val="5.5555555555555558E-3"/>
                  <c:y val="-9.49404617286979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6A-47D2-B8D4-36504D039E00}"/>
                </c:ext>
              </c:extLst>
            </c:dLbl>
            <c:dLbl>
              <c:idx val="4"/>
              <c:layout>
                <c:manualLayout>
                  <c:x val="0"/>
                  <c:y val="-0.155357119192414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6A-47D2-B8D4-36504D039E00}"/>
                </c:ext>
              </c:extLst>
            </c:dLbl>
            <c:dLbl>
              <c:idx val="5"/>
              <c:layout>
                <c:manualLayout>
                  <c:x val="-5.5555555555556061E-3"/>
                  <c:y val="-0.207142825589886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6A-47D2-B8D4-36504D039E00}"/>
                </c:ext>
              </c:extLst>
            </c:dLbl>
            <c:dLbl>
              <c:idx val="6"/>
              <c:layout>
                <c:manualLayout>
                  <c:x val="5.833333333333323E-2"/>
                  <c:y val="-0.24166662985486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6A-47D2-B8D4-36504D039E00}"/>
                </c:ext>
              </c:extLst>
            </c:dLbl>
            <c:dLbl>
              <c:idx val="7"/>
              <c:layout>
                <c:manualLayout>
                  <c:x val="-2.7777777777778798E-3"/>
                  <c:y val="-8.1994035129330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6A-47D2-B8D4-36504D039E00}"/>
                </c:ext>
              </c:extLst>
            </c:dLbl>
            <c:dLbl>
              <c:idx val="8"/>
              <c:layout>
                <c:manualLayout>
                  <c:x val="5.5555555555555558E-3"/>
                  <c:y val="-0.1467261681261695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6A-47D2-B8D4-36504D039E00}"/>
                </c:ext>
              </c:extLst>
            </c:dLbl>
            <c:dLbl>
              <c:idx val="9"/>
              <c:layout>
                <c:manualLayout>
                  <c:x val="-1.9444444444444445E-2"/>
                  <c:y val="-0.233035678788622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6A-47D2-B8D4-36504D039E00}"/>
                </c:ext>
              </c:extLst>
            </c:dLbl>
            <c:dLbl>
              <c:idx val="10"/>
              <c:layout>
                <c:manualLayout>
                  <c:x val="-2.7777777777777779E-3"/>
                  <c:y val="-8.63095106624527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6A-47D2-B8D4-36504D039E00}"/>
                </c:ext>
              </c:extLst>
            </c:dLbl>
            <c:dLbl>
              <c:idx val="11"/>
              <c:layout>
                <c:manualLayout>
                  <c:x val="-2.5000000000000102E-2"/>
                  <c:y val="-0.159672594725537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6A-47D2-B8D4-36504D039E00}"/>
                </c:ext>
              </c:extLst>
            </c:dLbl>
            <c:dLbl>
              <c:idx val="12"/>
              <c:layout>
                <c:manualLayout>
                  <c:x val="1.1111111111111009E-2"/>
                  <c:y val="-0.1898809234573959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6A-47D2-B8D4-36504D039E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'2022-2023'!$T$53:$T$65</c:f>
              <c:strCache>
                <c:ptCount val="13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</c:strCache>
            </c:strRef>
          </c:cat>
          <c:val>
            <c:numRef>
              <c:f>'2022-2023'!$U$53:$U$65</c:f>
              <c:numCache>
                <c:formatCode>0.00%</c:formatCode>
                <c:ptCount val="13"/>
                <c:pt idx="0">
                  <c:v>1.025360990175914</c:v>
                </c:pt>
                <c:pt idx="1">
                  <c:v>1.1989628753987662</c:v>
                </c:pt>
                <c:pt idx="2">
                  <c:v>2.9584296489131865</c:v>
                </c:pt>
                <c:pt idx="3">
                  <c:v>0.6645785179071525</c:v>
                </c:pt>
                <c:pt idx="4">
                  <c:v>1.5857728302131433</c:v>
                </c:pt>
                <c:pt idx="5">
                  <c:v>2.1570036308946734</c:v>
                </c:pt>
                <c:pt idx="6">
                  <c:v>3.3643498062681889</c:v>
                </c:pt>
                <c:pt idx="7">
                  <c:v>0.55767614863704729</c:v>
                </c:pt>
                <c:pt idx="8">
                  <c:v>0.4824519034660732</c:v>
                </c:pt>
                <c:pt idx="9">
                  <c:v>1.2843791291938551</c:v>
                </c:pt>
                <c:pt idx="10">
                  <c:v>0.2690632526282879</c:v>
                </c:pt>
                <c:pt idx="11">
                  <c:v>0.45551575944568579</c:v>
                </c:pt>
                <c:pt idx="12">
                  <c:v>0.54505827474901303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A-47D2-B8D4-36504D039E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92989439"/>
        <c:axId val="292990879"/>
      </c:barChart>
      <c:catAx>
        <c:axId val="29298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90879"/>
        <c:crosses val="autoZero"/>
        <c:auto val="1"/>
        <c:lblAlgn val="ctr"/>
        <c:lblOffset val="100"/>
        <c:noMultiLvlLbl val="0"/>
      </c:catAx>
      <c:valAx>
        <c:axId val="29299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8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Effect of COVID19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6.1701443569553809E-2"/>
                  <c:y val="9.3524980931956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1C-41F5-9EBB-05AD5A49DB36}"/>
                </c:ext>
              </c:extLst>
            </c:dLbl>
            <c:dLbl>
              <c:idx val="3"/>
              <c:layout>
                <c:manualLayout>
                  <c:x val="-3.3923665791776025E-2"/>
                  <c:y val="3.8798619918958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1C-41F5-9EBB-05AD5A49DB36}"/>
                </c:ext>
              </c:extLst>
            </c:dLbl>
            <c:dLbl>
              <c:idx val="4"/>
              <c:layout>
                <c:manualLayout>
                  <c:x val="-5.892366579177593E-2"/>
                  <c:y val="0.166493462282620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1C-41F5-9EBB-05AD5A49D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'COVID-19'!$Z$3:$Z$7</c:f>
              <c:strCache>
                <c:ptCount val="5"/>
                <c:pt idx="0">
                  <c:v>Food</c:v>
                </c:pt>
                <c:pt idx="1">
                  <c:v>Fuel &amp; Energy</c:v>
                </c:pt>
                <c:pt idx="2">
                  <c:v>Health</c:v>
                </c:pt>
                <c:pt idx="3">
                  <c:v>Housing</c:v>
                </c:pt>
                <c:pt idx="4">
                  <c:v>General index</c:v>
                </c:pt>
              </c:strCache>
            </c:strRef>
          </c:cat>
          <c:val>
            <c:numRef>
              <c:f>'COVID-19'!$AA$3:$AA$7</c:f>
              <c:numCache>
                <c:formatCode>0.00%</c:formatCode>
                <c:ptCount val="5"/>
                <c:pt idx="0">
                  <c:v>0.56862410004687347</c:v>
                </c:pt>
                <c:pt idx="1">
                  <c:v>0.5028292237222568</c:v>
                </c:pt>
                <c:pt idx="2">
                  <c:v>0.36167647667234021</c:v>
                </c:pt>
                <c:pt idx="3">
                  <c:v>0.29039337425512773</c:v>
                </c:pt>
                <c:pt idx="4">
                  <c:v>0.45719700242461342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1C-41F5-9EBB-05AD5A49DB36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'COVID-19'!$Z$3:$Z$7</c:f>
              <c:strCache>
                <c:ptCount val="5"/>
                <c:pt idx="0">
                  <c:v>Food</c:v>
                </c:pt>
                <c:pt idx="1">
                  <c:v>Fuel &amp; Energy</c:v>
                </c:pt>
                <c:pt idx="2">
                  <c:v>Health</c:v>
                </c:pt>
                <c:pt idx="3">
                  <c:v>Housing</c:v>
                </c:pt>
                <c:pt idx="4">
                  <c:v>General index</c:v>
                </c:pt>
              </c:strCache>
            </c:strRef>
          </c:cat>
          <c:val>
            <c:numRef>
              <c:f>'COVID-19'!$Z$11:$Z$15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1C-41F5-9EBB-05AD5A49DB36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7812554680664913E-2"/>
                  <c:y val="7.98433906787074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1C-41F5-9EBB-05AD5A49DB36}"/>
                </c:ext>
              </c:extLst>
            </c:dLbl>
            <c:dLbl>
              <c:idx val="3"/>
              <c:layout>
                <c:manualLayout>
                  <c:x val="-5.8923665791776131E-2"/>
                  <c:y val="-0.180106824133032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1C-41F5-9EBB-05AD5A49DB36}"/>
                </c:ext>
              </c:extLst>
            </c:dLbl>
            <c:dLbl>
              <c:idx val="4"/>
              <c:layout>
                <c:manualLayout>
                  <c:x val="-6.7256999125109365E-2"/>
                  <c:y val="-0.129940813656022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1C-41F5-9EBB-05AD5A49D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'COVID-19'!$Z$3:$Z$7</c:f>
              <c:strCache>
                <c:ptCount val="5"/>
                <c:pt idx="0">
                  <c:v>Food</c:v>
                </c:pt>
                <c:pt idx="1">
                  <c:v>Fuel &amp; Energy</c:v>
                </c:pt>
                <c:pt idx="2">
                  <c:v>Health</c:v>
                </c:pt>
                <c:pt idx="3">
                  <c:v>Housing</c:v>
                </c:pt>
                <c:pt idx="4">
                  <c:v>General index</c:v>
                </c:pt>
              </c:strCache>
            </c:strRef>
          </c:cat>
          <c:val>
            <c:numRef>
              <c:f>'COVID-19'!$AA$11:$AA$15</c:f>
              <c:numCache>
                <c:formatCode>0.00%</c:formatCode>
                <c:ptCount val="5"/>
                <c:pt idx="0">
                  <c:v>0.50658608770911551</c:v>
                </c:pt>
                <c:pt idx="1">
                  <c:v>0.76975946343972468</c:v>
                </c:pt>
                <c:pt idx="2">
                  <c:v>0.54408220694086729</c:v>
                </c:pt>
                <c:pt idx="3">
                  <c:v>0.31735778050301355</c:v>
                </c:pt>
                <c:pt idx="4">
                  <c:v>0.47770683143952186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1C-41F5-9EBB-05AD5A49DB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4688991"/>
        <c:axId val="484700991"/>
      </c:lineChart>
      <c:catAx>
        <c:axId val="484688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00991"/>
        <c:crosses val="autoZero"/>
        <c:auto val="1"/>
        <c:lblAlgn val="ctr"/>
        <c:lblOffset val="100"/>
        <c:noMultiLvlLbl val="0"/>
      </c:catAx>
      <c:valAx>
        <c:axId val="4847009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8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'COVID-19'!$AF$2</c:f>
              <c:strCache>
                <c:ptCount val="1"/>
                <c:pt idx="0">
                  <c:v>Difference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'COVID-19'!$AE$3:$AE$7</c:f>
              <c:strCache>
                <c:ptCount val="5"/>
                <c:pt idx="0">
                  <c:v>Food</c:v>
                </c:pt>
                <c:pt idx="1">
                  <c:v>Fuel &amp; Energy</c:v>
                </c:pt>
                <c:pt idx="2">
                  <c:v>Health</c:v>
                </c:pt>
                <c:pt idx="3">
                  <c:v>Housing</c:v>
                </c:pt>
                <c:pt idx="4">
                  <c:v>General index</c:v>
                </c:pt>
              </c:strCache>
            </c:strRef>
          </c:cat>
          <c:val>
            <c:numRef>
              <c:f>'COVID-19'!$AF$3:$AF$7</c:f>
              <c:numCache>
                <c:formatCode>0.00%</c:formatCode>
                <c:ptCount val="5"/>
                <c:pt idx="0">
                  <c:v>6.2038012337757964E-2</c:v>
                </c:pt>
                <c:pt idx="1">
                  <c:v>0.26693023971746788</c:v>
                </c:pt>
                <c:pt idx="2">
                  <c:v>0.18240573026852708</c:v>
                </c:pt>
                <c:pt idx="3">
                  <c:v>2.6964406247885819E-2</c:v>
                </c:pt>
                <c:pt idx="4">
                  <c:v>2.0509829014908443E-2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D-413E-B50F-7BA1EFA9E6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13455311"/>
        <c:axId val="313454351"/>
      </c:barChart>
      <c:catAx>
        <c:axId val="3134553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54351"/>
        <c:crosses val="autoZero"/>
        <c:auto val="1"/>
        <c:lblAlgn val="ctr"/>
        <c:lblOffset val="100"/>
        <c:noMultiLvlLbl val="0"/>
      </c:catAx>
      <c:valAx>
        <c:axId val="313454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5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Fuel vs Crude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Correl!$C$1</c:f>
              <c:strCache>
                <c:ptCount val="1"/>
                <c:pt idx="0">
                  <c:v>Fuel Price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Correl!$C$2:$C$30</c:f>
              <c:numCache>
                <c:formatCode>0.00</c:formatCode>
                <c:ptCount val="29"/>
                <c:pt idx="0">
                  <c:v>94.024157660521297</c:v>
                </c:pt>
                <c:pt idx="1">
                  <c:v>97.318007662835257</c:v>
                </c:pt>
                <c:pt idx="2">
                  <c:v>99.170918367346928</c:v>
                </c:pt>
                <c:pt idx="3">
                  <c:v>98.605830164765521</c:v>
                </c:pt>
                <c:pt idx="4">
                  <c:v>99.376558603491276</c:v>
                </c:pt>
                <c:pt idx="5">
                  <c:v>99.070055796652198</c:v>
                </c:pt>
                <c:pt idx="6">
                  <c:v>98.892307692307696</c:v>
                </c:pt>
                <c:pt idx="7">
                  <c:v>99.632352941176478</c:v>
                </c:pt>
                <c:pt idx="8">
                  <c:v>99.632352941176478</c:v>
                </c:pt>
                <c:pt idx="9">
                  <c:v>99.21450151057401</c:v>
                </c:pt>
                <c:pt idx="10">
                  <c:v>98.32033593281345</c:v>
                </c:pt>
                <c:pt idx="11">
                  <c:v>98.736462093862826</c:v>
                </c:pt>
                <c:pt idx="12">
                  <c:v>99.094749547374775</c:v>
                </c:pt>
                <c:pt idx="13">
                  <c:v>99.759181216134849</c:v>
                </c:pt>
                <c:pt idx="14">
                  <c:v>99.701848539057849</c:v>
                </c:pt>
                <c:pt idx="15">
                  <c:v>101.23456790123457</c:v>
                </c:pt>
                <c:pt idx="16">
                  <c:v>101.68899242865463</c:v>
                </c:pt>
                <c:pt idx="17">
                  <c:v>101.96987253765933</c:v>
                </c:pt>
                <c:pt idx="18">
                  <c:v>103.57554786620531</c:v>
                </c:pt>
                <c:pt idx="19">
                  <c:v>102.58175559380378</c:v>
                </c:pt>
                <c:pt idx="20">
                  <c:v>102.39589275527665</c:v>
                </c:pt>
                <c:pt idx="21">
                  <c:v>102.15053763440861</c:v>
                </c:pt>
                <c:pt idx="22">
                  <c:v>102.71954674220964</c:v>
                </c:pt>
                <c:pt idx="23">
                  <c:v>103.58565737051792</c:v>
                </c:pt>
                <c:pt idx="24">
                  <c:v>103.11614730878188</c:v>
                </c:pt>
                <c:pt idx="25">
                  <c:v>102.76523702031604</c:v>
                </c:pt>
                <c:pt idx="26">
                  <c:v>102.65237020316027</c:v>
                </c:pt>
                <c:pt idx="27">
                  <c:v>102.02133632790566</c:v>
                </c:pt>
                <c:pt idx="28">
                  <c:v>102.06588498045785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F-4089-8D2F-5FC79C56B062}"/>
            </c:ext>
          </c:extLst>
        </c:ser>
        <c:ser>
          <c:idx val="5"/>
          <c:order val="1"/>
          <c:tx>
            <c:strRef>
              <c:f>Correl!$H$1</c:f>
              <c:strCache>
                <c:ptCount val="1"/>
                <c:pt idx="0">
                  <c:v>Crude Price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Correl!$H$2:$H$30</c:f>
              <c:numCache>
                <c:formatCode>General</c:formatCode>
                <c:ptCount val="29"/>
                <c:pt idx="0">
                  <c:v>55.04</c:v>
                </c:pt>
                <c:pt idx="1">
                  <c:v>64.42</c:v>
                </c:pt>
                <c:pt idx="2">
                  <c:v>62.74</c:v>
                </c:pt>
                <c:pt idx="3">
                  <c:v>66.760000000000005</c:v>
                </c:pt>
                <c:pt idx="4">
                  <c:v>68.95</c:v>
                </c:pt>
                <c:pt idx="5">
                  <c:v>74.62</c:v>
                </c:pt>
                <c:pt idx="6">
                  <c:v>75.41</c:v>
                </c:pt>
                <c:pt idx="7">
                  <c:v>71.63</c:v>
                </c:pt>
                <c:pt idx="8">
                  <c:v>78.31</c:v>
                </c:pt>
                <c:pt idx="9">
                  <c:v>83.72</c:v>
                </c:pt>
                <c:pt idx="10">
                  <c:v>69.23</c:v>
                </c:pt>
                <c:pt idx="11">
                  <c:v>77.349999999999994</c:v>
                </c:pt>
                <c:pt idx="12">
                  <c:v>89.26</c:v>
                </c:pt>
                <c:pt idx="13">
                  <c:v>97.97</c:v>
                </c:pt>
                <c:pt idx="14">
                  <c:v>104.71</c:v>
                </c:pt>
                <c:pt idx="15">
                  <c:v>107.14</c:v>
                </c:pt>
                <c:pt idx="16">
                  <c:v>115.6</c:v>
                </c:pt>
                <c:pt idx="17">
                  <c:v>109.03</c:v>
                </c:pt>
                <c:pt idx="18">
                  <c:v>103.97</c:v>
                </c:pt>
                <c:pt idx="19">
                  <c:v>95.64</c:v>
                </c:pt>
                <c:pt idx="20">
                  <c:v>85.14</c:v>
                </c:pt>
                <c:pt idx="21">
                  <c:v>92.81</c:v>
                </c:pt>
                <c:pt idx="22">
                  <c:v>86.97</c:v>
                </c:pt>
                <c:pt idx="23">
                  <c:v>85.65</c:v>
                </c:pt>
                <c:pt idx="24">
                  <c:v>85.46</c:v>
                </c:pt>
                <c:pt idx="25">
                  <c:v>83.45</c:v>
                </c:pt>
                <c:pt idx="26">
                  <c:v>79.89</c:v>
                </c:pt>
                <c:pt idx="27">
                  <c:v>80.33</c:v>
                </c:pt>
                <c:pt idx="28">
                  <c:v>72.599999999999994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AF-4089-8D2F-5FC79C56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817599"/>
        <c:axId val="1507822879"/>
      </c:lineChart>
      <c:catAx>
        <c:axId val="15078175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822879"/>
        <c:crosses val="autoZero"/>
        <c:auto val="1"/>
        <c:lblAlgn val="ctr"/>
        <c:lblOffset val="100"/>
        <c:noMultiLvlLbl val="0"/>
      </c:catAx>
      <c:valAx>
        <c:axId val="15078228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81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Transportation vs Crude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Correl!$E$1</c:f>
              <c:strCache>
                <c:ptCount val="1"/>
                <c:pt idx="0">
                  <c:v>Transportation Price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Correl!$E$2:$E$30</c:f>
              <c:numCache>
                <c:formatCode>0.00</c:formatCode>
                <c:ptCount val="29"/>
                <c:pt idx="0">
                  <c:v>90.209790209790214</c:v>
                </c:pt>
                <c:pt idx="1">
                  <c:v>92.656449553001281</c:v>
                </c:pt>
                <c:pt idx="2">
                  <c:v>93.239795918367335</c:v>
                </c:pt>
                <c:pt idx="3">
                  <c:v>92.902408111533575</c:v>
                </c:pt>
                <c:pt idx="4">
                  <c:v>92.830423940149629</c:v>
                </c:pt>
                <c:pt idx="5">
                  <c:v>93.428394296342205</c:v>
                </c:pt>
                <c:pt idx="6">
                  <c:v>94.215384615384608</c:v>
                </c:pt>
                <c:pt idx="7">
                  <c:v>94.362745098039227</c:v>
                </c:pt>
                <c:pt idx="8">
                  <c:v>94.362745098039227</c:v>
                </c:pt>
                <c:pt idx="9">
                  <c:v>94.0785498489426</c:v>
                </c:pt>
                <c:pt idx="10">
                  <c:v>92.861427714457122</c:v>
                </c:pt>
                <c:pt idx="11">
                  <c:v>93.682310469314075</c:v>
                </c:pt>
                <c:pt idx="12">
                  <c:v>94.447797223898618</c:v>
                </c:pt>
                <c:pt idx="13">
                  <c:v>94.461167971101759</c:v>
                </c:pt>
                <c:pt idx="14">
                  <c:v>94.156231365533699</c:v>
                </c:pt>
                <c:pt idx="15">
                  <c:v>95.590828924162253</c:v>
                </c:pt>
                <c:pt idx="16">
                  <c:v>94.933022714036113</c:v>
                </c:pt>
                <c:pt idx="17">
                  <c:v>93.337195828505216</c:v>
                </c:pt>
                <c:pt idx="18">
                  <c:v>93.194925028835058</c:v>
                </c:pt>
                <c:pt idx="19">
                  <c:v>92.885829030407336</c:v>
                </c:pt>
                <c:pt idx="20">
                  <c:v>92.584141471762692</c:v>
                </c:pt>
                <c:pt idx="21">
                  <c:v>92.190152801358238</c:v>
                </c:pt>
                <c:pt idx="22">
                  <c:v>92.351274787535402</c:v>
                </c:pt>
                <c:pt idx="23">
                  <c:v>92.99943084803644</c:v>
                </c:pt>
                <c:pt idx="24">
                  <c:v>92.691218130311611</c:v>
                </c:pt>
                <c:pt idx="25">
                  <c:v>92.663656884875849</c:v>
                </c:pt>
                <c:pt idx="26">
                  <c:v>92.663656884875849</c:v>
                </c:pt>
                <c:pt idx="27">
                  <c:v>92.363840539023016</c:v>
                </c:pt>
                <c:pt idx="28">
                  <c:v>92.015633724176453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7-494E-A013-F5B1CDD54EFD}"/>
            </c:ext>
          </c:extLst>
        </c:ser>
        <c:ser>
          <c:idx val="5"/>
          <c:order val="1"/>
          <c:tx>
            <c:strRef>
              <c:f>Correl!$H$1</c:f>
              <c:strCache>
                <c:ptCount val="1"/>
                <c:pt idx="0">
                  <c:v>Crude Price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Correl!$H$2:$H$30</c:f>
              <c:numCache>
                <c:formatCode>General</c:formatCode>
                <c:ptCount val="29"/>
                <c:pt idx="0">
                  <c:v>55.04</c:v>
                </c:pt>
                <c:pt idx="1">
                  <c:v>64.42</c:v>
                </c:pt>
                <c:pt idx="2">
                  <c:v>62.74</c:v>
                </c:pt>
                <c:pt idx="3">
                  <c:v>66.760000000000005</c:v>
                </c:pt>
                <c:pt idx="4">
                  <c:v>68.95</c:v>
                </c:pt>
                <c:pt idx="5">
                  <c:v>74.62</c:v>
                </c:pt>
                <c:pt idx="6">
                  <c:v>75.41</c:v>
                </c:pt>
                <c:pt idx="7">
                  <c:v>71.63</c:v>
                </c:pt>
                <c:pt idx="8">
                  <c:v>78.31</c:v>
                </c:pt>
                <c:pt idx="9">
                  <c:v>83.72</c:v>
                </c:pt>
                <c:pt idx="10">
                  <c:v>69.23</c:v>
                </c:pt>
                <c:pt idx="11">
                  <c:v>77.349999999999994</c:v>
                </c:pt>
                <c:pt idx="12">
                  <c:v>89.26</c:v>
                </c:pt>
                <c:pt idx="13">
                  <c:v>97.97</c:v>
                </c:pt>
                <c:pt idx="14">
                  <c:v>104.71</c:v>
                </c:pt>
                <c:pt idx="15">
                  <c:v>107.14</c:v>
                </c:pt>
                <c:pt idx="16">
                  <c:v>115.6</c:v>
                </c:pt>
                <c:pt idx="17">
                  <c:v>109.03</c:v>
                </c:pt>
                <c:pt idx="18">
                  <c:v>103.97</c:v>
                </c:pt>
                <c:pt idx="19">
                  <c:v>95.64</c:v>
                </c:pt>
                <c:pt idx="20">
                  <c:v>85.14</c:v>
                </c:pt>
                <c:pt idx="21">
                  <c:v>92.81</c:v>
                </c:pt>
                <c:pt idx="22">
                  <c:v>86.97</c:v>
                </c:pt>
                <c:pt idx="23">
                  <c:v>85.65</c:v>
                </c:pt>
                <c:pt idx="24">
                  <c:v>85.46</c:v>
                </c:pt>
                <c:pt idx="25">
                  <c:v>83.45</c:v>
                </c:pt>
                <c:pt idx="26">
                  <c:v>79.89</c:v>
                </c:pt>
                <c:pt idx="27">
                  <c:v>80.33</c:v>
                </c:pt>
                <c:pt idx="28">
                  <c:v>72.599999999999994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7-494E-A013-F5B1CDD54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505343"/>
        <c:axId val="116506303"/>
      </c:lineChart>
      <c:catAx>
        <c:axId val="11650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6303"/>
        <c:crosses val="autoZero"/>
        <c:auto val="1"/>
        <c:lblAlgn val="ctr"/>
        <c:lblOffset val="100"/>
        <c:noMultiLvlLbl val="0"/>
      </c:catAx>
      <c:valAx>
        <c:axId val="1165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General Index vs Crude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Correl!$G$1</c:f>
              <c:strCache>
                <c:ptCount val="1"/>
                <c:pt idx="0">
                  <c:v>General index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Correl!$G$2:$G$30</c:f>
              <c:numCache>
                <c:formatCode>0.00</c:formatCode>
                <c:ptCount val="29"/>
                <c:pt idx="0">
                  <c:v>157.30000000000001</c:v>
                </c:pt>
                <c:pt idx="1">
                  <c:v>156.6</c:v>
                </c:pt>
                <c:pt idx="2">
                  <c:v>156.80000000000001</c:v>
                </c:pt>
                <c:pt idx="3">
                  <c:v>157.80000000000001</c:v>
                </c:pt>
                <c:pt idx="4">
                  <c:v>160.4</c:v>
                </c:pt>
                <c:pt idx="5">
                  <c:v>161.30000000000001</c:v>
                </c:pt>
                <c:pt idx="6">
                  <c:v>162.5</c:v>
                </c:pt>
                <c:pt idx="7">
                  <c:v>163.19999999999999</c:v>
                </c:pt>
                <c:pt idx="8">
                  <c:v>163.19999999999999</c:v>
                </c:pt>
                <c:pt idx="9">
                  <c:v>165.5</c:v>
                </c:pt>
                <c:pt idx="10">
                  <c:v>166.7</c:v>
                </c:pt>
                <c:pt idx="11">
                  <c:v>166.2</c:v>
                </c:pt>
                <c:pt idx="12">
                  <c:v>165.7</c:v>
                </c:pt>
                <c:pt idx="13">
                  <c:v>166.1</c:v>
                </c:pt>
                <c:pt idx="14">
                  <c:v>167.7</c:v>
                </c:pt>
                <c:pt idx="15">
                  <c:v>170.1</c:v>
                </c:pt>
                <c:pt idx="16">
                  <c:v>171.7</c:v>
                </c:pt>
                <c:pt idx="17">
                  <c:v>172.6</c:v>
                </c:pt>
                <c:pt idx="18">
                  <c:v>173.4</c:v>
                </c:pt>
                <c:pt idx="19">
                  <c:v>174.3</c:v>
                </c:pt>
                <c:pt idx="20">
                  <c:v>175.3</c:v>
                </c:pt>
                <c:pt idx="21">
                  <c:v>176.7</c:v>
                </c:pt>
                <c:pt idx="22">
                  <c:v>176.5</c:v>
                </c:pt>
                <c:pt idx="23">
                  <c:v>175.7</c:v>
                </c:pt>
                <c:pt idx="24">
                  <c:v>176.5</c:v>
                </c:pt>
                <c:pt idx="25">
                  <c:v>177.2</c:v>
                </c:pt>
                <c:pt idx="26">
                  <c:v>177.2</c:v>
                </c:pt>
                <c:pt idx="27">
                  <c:v>178.1</c:v>
                </c:pt>
                <c:pt idx="28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F-4E7E-8E0F-11399B850946}"/>
            </c:ext>
          </c:extLst>
        </c:ser>
        <c:ser>
          <c:idx val="5"/>
          <c:order val="1"/>
          <c:tx>
            <c:strRef>
              <c:f>Correl!$H$1</c:f>
              <c:strCache>
                <c:ptCount val="1"/>
                <c:pt idx="0">
                  <c:v>Crude Price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Correl!$H$2:$H$30</c:f>
              <c:numCache>
                <c:formatCode>General</c:formatCode>
                <c:ptCount val="29"/>
                <c:pt idx="0">
                  <c:v>55.04</c:v>
                </c:pt>
                <c:pt idx="1">
                  <c:v>64.42</c:v>
                </c:pt>
                <c:pt idx="2">
                  <c:v>62.74</c:v>
                </c:pt>
                <c:pt idx="3">
                  <c:v>66.760000000000005</c:v>
                </c:pt>
                <c:pt idx="4">
                  <c:v>68.95</c:v>
                </c:pt>
                <c:pt idx="5">
                  <c:v>74.62</c:v>
                </c:pt>
                <c:pt idx="6">
                  <c:v>75.41</c:v>
                </c:pt>
                <c:pt idx="7">
                  <c:v>71.63</c:v>
                </c:pt>
                <c:pt idx="8">
                  <c:v>78.31</c:v>
                </c:pt>
                <c:pt idx="9">
                  <c:v>83.72</c:v>
                </c:pt>
                <c:pt idx="10">
                  <c:v>69.23</c:v>
                </c:pt>
                <c:pt idx="11">
                  <c:v>77.349999999999994</c:v>
                </c:pt>
                <c:pt idx="12">
                  <c:v>89.26</c:v>
                </c:pt>
                <c:pt idx="13">
                  <c:v>97.97</c:v>
                </c:pt>
                <c:pt idx="14">
                  <c:v>104.71</c:v>
                </c:pt>
                <c:pt idx="15">
                  <c:v>107.14</c:v>
                </c:pt>
                <c:pt idx="16">
                  <c:v>115.6</c:v>
                </c:pt>
                <c:pt idx="17">
                  <c:v>109.03</c:v>
                </c:pt>
                <c:pt idx="18">
                  <c:v>103.97</c:v>
                </c:pt>
                <c:pt idx="19">
                  <c:v>95.64</c:v>
                </c:pt>
                <c:pt idx="20">
                  <c:v>85.14</c:v>
                </c:pt>
                <c:pt idx="21">
                  <c:v>92.81</c:v>
                </c:pt>
                <c:pt idx="22">
                  <c:v>86.97</c:v>
                </c:pt>
                <c:pt idx="23">
                  <c:v>85.65</c:v>
                </c:pt>
                <c:pt idx="24">
                  <c:v>85.46</c:v>
                </c:pt>
                <c:pt idx="25">
                  <c:v>83.45</c:v>
                </c:pt>
                <c:pt idx="26">
                  <c:v>79.89</c:v>
                </c:pt>
                <c:pt idx="27">
                  <c:v>80.33</c:v>
                </c:pt>
                <c:pt idx="28">
                  <c:v>72.599999999999994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F-4E7E-8E0F-11399B850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68127"/>
        <c:axId val="135169567"/>
      </c:lineChart>
      <c:catAx>
        <c:axId val="1351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9567"/>
        <c:crosses val="autoZero"/>
        <c:auto val="1"/>
        <c:lblAlgn val="ctr"/>
        <c:lblOffset val="100"/>
        <c:noMultiLvlLbl val="0"/>
      </c:catAx>
      <c:valAx>
        <c:axId val="13516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Correl!$C$1</c:f>
              <c:strCache>
                <c:ptCount val="1"/>
                <c:pt idx="0">
                  <c:v>Fuel Price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Correl!$C$2:$C$30</c:f>
              <c:numCache>
                <c:formatCode>0.00</c:formatCode>
                <c:ptCount val="29"/>
                <c:pt idx="0">
                  <c:v>94.024157660521297</c:v>
                </c:pt>
                <c:pt idx="1">
                  <c:v>97.318007662835257</c:v>
                </c:pt>
                <c:pt idx="2">
                  <c:v>99.170918367346928</c:v>
                </c:pt>
                <c:pt idx="3">
                  <c:v>98.605830164765521</c:v>
                </c:pt>
                <c:pt idx="4">
                  <c:v>99.376558603491276</c:v>
                </c:pt>
                <c:pt idx="5">
                  <c:v>99.070055796652198</c:v>
                </c:pt>
                <c:pt idx="6">
                  <c:v>98.892307692307696</c:v>
                </c:pt>
                <c:pt idx="7">
                  <c:v>99.632352941176478</c:v>
                </c:pt>
                <c:pt idx="8">
                  <c:v>99.632352941176478</c:v>
                </c:pt>
                <c:pt idx="9">
                  <c:v>99.21450151057401</c:v>
                </c:pt>
                <c:pt idx="10">
                  <c:v>98.32033593281345</c:v>
                </c:pt>
                <c:pt idx="11">
                  <c:v>98.736462093862826</c:v>
                </c:pt>
                <c:pt idx="12">
                  <c:v>99.094749547374775</c:v>
                </c:pt>
                <c:pt idx="13">
                  <c:v>99.759181216134849</c:v>
                </c:pt>
                <c:pt idx="14">
                  <c:v>99.701848539057849</c:v>
                </c:pt>
                <c:pt idx="15">
                  <c:v>101.23456790123457</c:v>
                </c:pt>
                <c:pt idx="16">
                  <c:v>101.68899242865463</c:v>
                </c:pt>
                <c:pt idx="17">
                  <c:v>101.96987253765933</c:v>
                </c:pt>
                <c:pt idx="18">
                  <c:v>103.57554786620531</c:v>
                </c:pt>
                <c:pt idx="19">
                  <c:v>102.58175559380378</c:v>
                </c:pt>
                <c:pt idx="20">
                  <c:v>102.39589275527665</c:v>
                </c:pt>
                <c:pt idx="21">
                  <c:v>102.15053763440861</c:v>
                </c:pt>
                <c:pt idx="22">
                  <c:v>102.71954674220964</c:v>
                </c:pt>
                <c:pt idx="23">
                  <c:v>103.58565737051792</c:v>
                </c:pt>
                <c:pt idx="24">
                  <c:v>103.11614730878188</c:v>
                </c:pt>
                <c:pt idx="25">
                  <c:v>102.76523702031604</c:v>
                </c:pt>
                <c:pt idx="26">
                  <c:v>102.65237020316027</c:v>
                </c:pt>
                <c:pt idx="27">
                  <c:v>102.02133632790566</c:v>
                </c:pt>
                <c:pt idx="28">
                  <c:v>102.06588498045785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F-4A9E-AE60-99D38C7ADA5A}"/>
            </c:ext>
          </c:extLst>
        </c:ser>
        <c:ser>
          <c:idx val="2"/>
          <c:order val="1"/>
          <c:tx>
            <c:strRef>
              <c:f>Correl!$E$1</c:f>
              <c:strCache>
                <c:ptCount val="1"/>
                <c:pt idx="0">
                  <c:v>Transportation Price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Correl!$E$2:$E$30</c:f>
              <c:numCache>
                <c:formatCode>0.00</c:formatCode>
                <c:ptCount val="29"/>
                <c:pt idx="0">
                  <c:v>90.209790209790214</c:v>
                </c:pt>
                <c:pt idx="1">
                  <c:v>92.656449553001281</c:v>
                </c:pt>
                <c:pt idx="2">
                  <c:v>93.239795918367335</c:v>
                </c:pt>
                <c:pt idx="3">
                  <c:v>92.902408111533575</c:v>
                </c:pt>
                <c:pt idx="4">
                  <c:v>92.830423940149629</c:v>
                </c:pt>
                <c:pt idx="5">
                  <c:v>93.428394296342205</c:v>
                </c:pt>
                <c:pt idx="6">
                  <c:v>94.215384615384608</c:v>
                </c:pt>
                <c:pt idx="7">
                  <c:v>94.362745098039227</c:v>
                </c:pt>
                <c:pt idx="8">
                  <c:v>94.362745098039227</c:v>
                </c:pt>
                <c:pt idx="9">
                  <c:v>94.0785498489426</c:v>
                </c:pt>
                <c:pt idx="10">
                  <c:v>92.861427714457122</c:v>
                </c:pt>
                <c:pt idx="11">
                  <c:v>93.682310469314075</c:v>
                </c:pt>
                <c:pt idx="12">
                  <c:v>94.447797223898618</c:v>
                </c:pt>
                <c:pt idx="13">
                  <c:v>94.461167971101759</c:v>
                </c:pt>
                <c:pt idx="14">
                  <c:v>94.156231365533699</c:v>
                </c:pt>
                <c:pt idx="15">
                  <c:v>95.590828924162253</c:v>
                </c:pt>
                <c:pt idx="16">
                  <c:v>94.933022714036113</c:v>
                </c:pt>
                <c:pt idx="17">
                  <c:v>93.337195828505216</c:v>
                </c:pt>
                <c:pt idx="18">
                  <c:v>93.194925028835058</c:v>
                </c:pt>
                <c:pt idx="19">
                  <c:v>92.885829030407336</c:v>
                </c:pt>
                <c:pt idx="20">
                  <c:v>92.584141471762692</c:v>
                </c:pt>
                <c:pt idx="21">
                  <c:v>92.190152801358238</c:v>
                </c:pt>
                <c:pt idx="22">
                  <c:v>92.351274787535402</c:v>
                </c:pt>
                <c:pt idx="23">
                  <c:v>92.99943084803644</c:v>
                </c:pt>
                <c:pt idx="24">
                  <c:v>92.691218130311611</c:v>
                </c:pt>
                <c:pt idx="25">
                  <c:v>92.663656884875849</c:v>
                </c:pt>
                <c:pt idx="26">
                  <c:v>92.663656884875849</c:v>
                </c:pt>
                <c:pt idx="27">
                  <c:v>92.363840539023016</c:v>
                </c:pt>
                <c:pt idx="28">
                  <c:v>92.015633724176453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F-4A9E-AE60-99D38C7ADA5A}"/>
            </c:ext>
          </c:extLst>
        </c:ser>
        <c:ser>
          <c:idx val="4"/>
          <c:order val="2"/>
          <c:tx>
            <c:strRef>
              <c:f>Correl!$G$1</c:f>
              <c:strCache>
                <c:ptCount val="1"/>
                <c:pt idx="0">
                  <c:v>General index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Correl!$G$2:$G$30</c:f>
              <c:numCache>
                <c:formatCode>0.00</c:formatCode>
                <c:ptCount val="29"/>
                <c:pt idx="0">
                  <c:v>157.30000000000001</c:v>
                </c:pt>
                <c:pt idx="1">
                  <c:v>156.6</c:v>
                </c:pt>
                <c:pt idx="2">
                  <c:v>156.80000000000001</c:v>
                </c:pt>
                <c:pt idx="3">
                  <c:v>157.80000000000001</c:v>
                </c:pt>
                <c:pt idx="4">
                  <c:v>160.4</c:v>
                </c:pt>
                <c:pt idx="5">
                  <c:v>161.30000000000001</c:v>
                </c:pt>
                <c:pt idx="6">
                  <c:v>162.5</c:v>
                </c:pt>
                <c:pt idx="7">
                  <c:v>163.19999999999999</c:v>
                </c:pt>
                <c:pt idx="8">
                  <c:v>163.19999999999999</c:v>
                </c:pt>
                <c:pt idx="9">
                  <c:v>165.5</c:v>
                </c:pt>
                <c:pt idx="10">
                  <c:v>166.7</c:v>
                </c:pt>
                <c:pt idx="11">
                  <c:v>166.2</c:v>
                </c:pt>
                <c:pt idx="12">
                  <c:v>165.7</c:v>
                </c:pt>
                <c:pt idx="13">
                  <c:v>166.1</c:v>
                </c:pt>
                <c:pt idx="14">
                  <c:v>167.7</c:v>
                </c:pt>
                <c:pt idx="15">
                  <c:v>170.1</c:v>
                </c:pt>
                <c:pt idx="16">
                  <c:v>171.7</c:v>
                </c:pt>
                <c:pt idx="17">
                  <c:v>172.6</c:v>
                </c:pt>
                <c:pt idx="18">
                  <c:v>173.4</c:v>
                </c:pt>
                <c:pt idx="19">
                  <c:v>174.3</c:v>
                </c:pt>
                <c:pt idx="20">
                  <c:v>175.3</c:v>
                </c:pt>
                <c:pt idx="21">
                  <c:v>176.7</c:v>
                </c:pt>
                <c:pt idx="22">
                  <c:v>176.5</c:v>
                </c:pt>
                <c:pt idx="23">
                  <c:v>175.7</c:v>
                </c:pt>
                <c:pt idx="24">
                  <c:v>176.5</c:v>
                </c:pt>
                <c:pt idx="25">
                  <c:v>177.2</c:v>
                </c:pt>
                <c:pt idx="26">
                  <c:v>177.2</c:v>
                </c:pt>
                <c:pt idx="27">
                  <c:v>178.1</c:v>
                </c:pt>
                <c:pt idx="28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F-4A9E-AE60-99D38C7ADA5A}"/>
            </c:ext>
          </c:extLst>
        </c:ser>
        <c:ser>
          <c:idx val="5"/>
          <c:order val="3"/>
          <c:tx>
            <c:strRef>
              <c:f>Correl!$H$1</c:f>
              <c:strCache>
                <c:ptCount val="1"/>
                <c:pt idx="0">
                  <c:v>Crude Price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Correl!$A$2:$B$30</c15:sqref>
                  </c15:fullRef>
                  <c15:levelRef>
                    <c15:sqref>Correl!$A$2:$A$30</c15:sqref>
                  </c15:levelRef>
                </c:ext>
              </c:extLst>
              <c:f>Correl!$A$2:$A$30</c:f>
              <c:strCache>
                <c:ptCount val="2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</c:strCache>
            </c:strRef>
          </c:cat>
          <c:val>
            <c:numRef>
              <c:f>Correl!$H$2:$H$30</c:f>
              <c:numCache>
                <c:formatCode>General</c:formatCode>
                <c:ptCount val="29"/>
                <c:pt idx="0">
                  <c:v>55.04</c:v>
                </c:pt>
                <c:pt idx="1">
                  <c:v>64.42</c:v>
                </c:pt>
                <c:pt idx="2">
                  <c:v>62.74</c:v>
                </c:pt>
                <c:pt idx="3">
                  <c:v>66.760000000000005</c:v>
                </c:pt>
                <c:pt idx="4">
                  <c:v>68.95</c:v>
                </c:pt>
                <c:pt idx="5">
                  <c:v>74.62</c:v>
                </c:pt>
                <c:pt idx="6">
                  <c:v>75.41</c:v>
                </c:pt>
                <c:pt idx="7">
                  <c:v>71.63</c:v>
                </c:pt>
                <c:pt idx="8">
                  <c:v>78.31</c:v>
                </c:pt>
                <c:pt idx="9">
                  <c:v>83.72</c:v>
                </c:pt>
                <c:pt idx="10">
                  <c:v>69.23</c:v>
                </c:pt>
                <c:pt idx="11">
                  <c:v>77.349999999999994</c:v>
                </c:pt>
                <c:pt idx="12">
                  <c:v>89.26</c:v>
                </c:pt>
                <c:pt idx="13">
                  <c:v>97.97</c:v>
                </c:pt>
                <c:pt idx="14">
                  <c:v>104.71</c:v>
                </c:pt>
                <c:pt idx="15">
                  <c:v>107.14</c:v>
                </c:pt>
                <c:pt idx="16">
                  <c:v>115.6</c:v>
                </c:pt>
                <c:pt idx="17">
                  <c:v>109.03</c:v>
                </c:pt>
                <c:pt idx="18">
                  <c:v>103.97</c:v>
                </c:pt>
                <c:pt idx="19">
                  <c:v>95.64</c:v>
                </c:pt>
                <c:pt idx="20">
                  <c:v>85.14</c:v>
                </c:pt>
                <c:pt idx="21">
                  <c:v>92.81</c:v>
                </c:pt>
                <c:pt idx="22">
                  <c:v>86.97</c:v>
                </c:pt>
                <c:pt idx="23">
                  <c:v>85.65</c:v>
                </c:pt>
                <c:pt idx="24">
                  <c:v>85.46</c:v>
                </c:pt>
                <c:pt idx="25">
                  <c:v>83.45</c:v>
                </c:pt>
                <c:pt idx="26">
                  <c:v>79.89</c:v>
                </c:pt>
                <c:pt idx="27">
                  <c:v>80.33</c:v>
                </c:pt>
                <c:pt idx="28">
                  <c:v>72.599999999999994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F-4A9E-AE60-99D38C7A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66591"/>
        <c:axId val="148569951"/>
      </c:lineChart>
      <c:catAx>
        <c:axId val="1485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9951"/>
        <c:crosses val="autoZero"/>
        <c:auto val="1"/>
        <c:lblAlgn val="ctr"/>
        <c:lblOffset val="100"/>
        <c:noMultiLvlLbl val="0"/>
      </c:catAx>
      <c:valAx>
        <c:axId val="14856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Correl!$D$1</c:f>
              <c:strCache>
                <c:ptCount val="1"/>
                <c:pt idx="0">
                  <c:v>Inflation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Correl!$B$2:$B$30</c:f>
              <c:numCache>
                <c:formatCode>General</c:formatCode>
                <c:ptCount val="29"/>
                <c:pt idx="0">
                  <c:v>2021</c:v>
                </c:pt>
                <c:pt idx="1">
                  <c:v>2021</c:v>
                </c:pt>
                <c:pt idx="2">
                  <c:v>2021</c:v>
                </c:pt>
                <c:pt idx="3">
                  <c:v>2021</c:v>
                </c:pt>
                <c:pt idx="4">
                  <c:v>2021</c:v>
                </c:pt>
                <c:pt idx="5">
                  <c:v>2021</c:v>
                </c:pt>
                <c:pt idx="6">
                  <c:v>2021</c:v>
                </c:pt>
                <c:pt idx="7">
                  <c:v>2021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2022</c:v>
                </c:pt>
                <c:pt idx="17">
                  <c:v>2022</c:v>
                </c:pt>
                <c:pt idx="18">
                  <c:v>2022</c:v>
                </c:pt>
                <c:pt idx="19">
                  <c:v>2022</c:v>
                </c:pt>
                <c:pt idx="20">
                  <c:v>2022</c:v>
                </c:pt>
                <c:pt idx="21">
                  <c:v>2022</c:v>
                </c:pt>
                <c:pt idx="22">
                  <c:v>2022</c:v>
                </c:pt>
                <c:pt idx="23">
                  <c:v>2022</c:v>
                </c:pt>
                <c:pt idx="24">
                  <c:v>2023</c:v>
                </c:pt>
                <c:pt idx="25">
                  <c:v>2023</c:v>
                </c:pt>
                <c:pt idx="26">
                  <c:v>2023</c:v>
                </c:pt>
                <c:pt idx="27">
                  <c:v>2023</c:v>
                </c:pt>
                <c:pt idx="28">
                  <c:v>2023</c:v>
                </c:pt>
              </c:numCache>
            </c:numRef>
          </c:cat>
          <c:val>
            <c:numRef>
              <c:f>Correl!$D$2:$D$30</c:f>
              <c:numCache>
                <c:formatCode>0.00</c:formatCode>
                <c:ptCount val="29"/>
                <c:pt idx="1">
                  <c:v>3.503195438566503</c:v>
                </c:pt>
                <c:pt idx="2">
                  <c:v>1.9039751727462453</c:v>
                </c:pt>
                <c:pt idx="3">
                  <c:v>-0.56981241263514226</c:v>
                </c:pt>
                <c:pt idx="4">
                  <c:v>0.78162562744809805</c:v>
                </c:pt>
                <c:pt idx="5">
                  <c:v>-0.30842566008148059</c:v>
                </c:pt>
                <c:pt idx="6">
                  <c:v>-0.17941657841532041</c:v>
                </c:pt>
                <c:pt idx="7">
                  <c:v>0.7483344924777664</c:v>
                </c:pt>
                <c:pt idx="8">
                  <c:v>0</c:v>
                </c:pt>
                <c:pt idx="9">
                  <c:v>-0.41939331780026312</c:v>
                </c:pt>
                <c:pt idx="10">
                  <c:v>-0.90124484238351266</c:v>
                </c:pt>
                <c:pt idx="11">
                  <c:v>0.42323508875491817</c:v>
                </c:pt>
                <c:pt idx="12">
                  <c:v>0.36287248490972496</c:v>
                </c:pt>
                <c:pt idx="13">
                  <c:v>0.67050138558796701</c:v>
                </c:pt>
                <c:pt idx="14">
                  <c:v>-5.7471078228663972E-2</c:v>
                </c:pt>
                <c:pt idx="15">
                  <c:v>1.537302853092321</c:v>
                </c:pt>
                <c:pt idx="16">
                  <c:v>0.44888276489054624</c:v>
                </c:pt>
                <c:pt idx="17">
                  <c:v>0.27621486091699149</c:v>
                </c:pt>
                <c:pt idx="18">
                  <c:v>1.5746566006081646</c:v>
                </c:pt>
                <c:pt idx="19">
                  <c:v>-0.95948541221840855</c:v>
                </c:pt>
                <c:pt idx="20">
                  <c:v>-0.18118508252392929</c:v>
                </c:pt>
                <c:pt idx="21">
                  <c:v>-0.23961422110399766</c:v>
                </c:pt>
                <c:pt idx="22">
                  <c:v>0.55702996868943611</c:v>
                </c:pt>
                <c:pt idx="23">
                  <c:v>0.84317995530287326</c:v>
                </c:pt>
                <c:pt idx="24">
                  <c:v>-0.45325779036825908</c:v>
                </c:pt>
                <c:pt idx="25">
                  <c:v>-0.34030585667154301</c:v>
                </c:pt>
                <c:pt idx="26">
                  <c:v>-0.1098297638660134</c:v>
                </c:pt>
                <c:pt idx="27">
                  <c:v>-0.61472898677909804</c:v>
                </c:pt>
                <c:pt idx="28">
                  <c:v>4.3666015517588377E-2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5-4CDF-8AC9-A1286139E444}"/>
            </c:ext>
          </c:extLst>
        </c:ser>
        <c:ser>
          <c:idx val="3"/>
          <c:order val="1"/>
          <c:tx>
            <c:strRef>
              <c:f>Correl!$F$1</c:f>
              <c:strCache>
                <c:ptCount val="1"/>
                <c:pt idx="0">
                  <c:v>Trans_Inflation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Correl!$B$2:$B$30</c:f>
              <c:numCache>
                <c:formatCode>General</c:formatCode>
                <c:ptCount val="29"/>
                <c:pt idx="0">
                  <c:v>2021</c:v>
                </c:pt>
                <c:pt idx="1">
                  <c:v>2021</c:v>
                </c:pt>
                <c:pt idx="2">
                  <c:v>2021</c:v>
                </c:pt>
                <c:pt idx="3">
                  <c:v>2021</c:v>
                </c:pt>
                <c:pt idx="4">
                  <c:v>2021</c:v>
                </c:pt>
                <c:pt idx="5">
                  <c:v>2021</c:v>
                </c:pt>
                <c:pt idx="6">
                  <c:v>2021</c:v>
                </c:pt>
                <c:pt idx="7">
                  <c:v>2021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2022</c:v>
                </c:pt>
                <c:pt idx="17">
                  <c:v>2022</c:v>
                </c:pt>
                <c:pt idx="18">
                  <c:v>2022</c:v>
                </c:pt>
                <c:pt idx="19">
                  <c:v>2022</c:v>
                </c:pt>
                <c:pt idx="20">
                  <c:v>2022</c:v>
                </c:pt>
                <c:pt idx="21">
                  <c:v>2022</c:v>
                </c:pt>
                <c:pt idx="22">
                  <c:v>2022</c:v>
                </c:pt>
                <c:pt idx="23">
                  <c:v>2022</c:v>
                </c:pt>
                <c:pt idx="24">
                  <c:v>2023</c:v>
                </c:pt>
                <c:pt idx="25">
                  <c:v>2023</c:v>
                </c:pt>
                <c:pt idx="26">
                  <c:v>2023</c:v>
                </c:pt>
                <c:pt idx="27">
                  <c:v>2023</c:v>
                </c:pt>
                <c:pt idx="28">
                  <c:v>2023</c:v>
                </c:pt>
              </c:numCache>
            </c:numRef>
          </c:cat>
          <c:val>
            <c:numRef>
              <c:f>Correl!$F$2:$F$30</c:f>
              <c:numCache>
                <c:formatCode>0.00</c:formatCode>
                <c:ptCount val="29"/>
                <c:pt idx="1">
                  <c:v>2.7121882641797099</c:v>
                </c:pt>
                <c:pt idx="2">
                  <c:v>0.62957988157356393</c:v>
                </c:pt>
                <c:pt idx="3">
                  <c:v>-0.36184957668627654</c:v>
                </c:pt>
                <c:pt idx="4">
                  <c:v>-7.7483644231832474E-2</c:v>
                </c:pt>
                <c:pt idx="5">
                  <c:v>0.64415342601268766</c:v>
                </c:pt>
                <c:pt idx="6">
                  <c:v>0.84234597519269783</c:v>
                </c:pt>
                <c:pt idx="7">
                  <c:v>0.15640808903576514</c:v>
                </c:pt>
                <c:pt idx="8">
                  <c:v>0</c:v>
                </c:pt>
                <c:pt idx="9">
                  <c:v>-0.30117314709460663</c:v>
                </c:pt>
                <c:pt idx="10">
                  <c:v>-1.293729693367673</c:v>
                </c:pt>
                <c:pt idx="11">
                  <c:v>0.88398679092153776</c:v>
                </c:pt>
                <c:pt idx="12">
                  <c:v>0.81710917541394423</c:v>
                </c:pt>
                <c:pt idx="13">
                  <c:v>1.4156759179299403E-2</c:v>
                </c:pt>
                <c:pt idx="14">
                  <c:v>-0.32281689091685561</c:v>
                </c:pt>
                <c:pt idx="15">
                  <c:v>1.5236352791767471</c:v>
                </c:pt>
                <c:pt idx="16">
                  <c:v>-0.68814782498435634</c:v>
                </c:pt>
                <c:pt idx="17">
                  <c:v>-1.6810029217524849</c:v>
                </c:pt>
                <c:pt idx="18">
                  <c:v>-0.1524266916391632</c:v>
                </c:pt>
                <c:pt idx="19">
                  <c:v>-0.33166612702578585</c:v>
                </c:pt>
                <c:pt idx="20">
                  <c:v>-0.32479395597134997</c:v>
                </c:pt>
                <c:pt idx="21">
                  <c:v>-0.42554660457116933</c:v>
                </c:pt>
                <c:pt idx="22">
                  <c:v>0.17477136253839753</c:v>
                </c:pt>
                <c:pt idx="23">
                  <c:v>0.70183769741369995</c:v>
                </c:pt>
                <c:pt idx="24">
                  <c:v>-0.33141355265760281</c:v>
                </c:pt>
                <c:pt idx="25">
                  <c:v>-2.9734473223790518E-2</c:v>
                </c:pt>
                <c:pt idx="26">
                  <c:v>0</c:v>
                </c:pt>
                <c:pt idx="27">
                  <c:v>-0.32355332816761212</c:v>
                </c:pt>
                <c:pt idx="28">
                  <c:v>-0.37699473388554927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5-4CDF-8AC9-A1286139E444}"/>
            </c:ext>
          </c:extLst>
        </c:ser>
        <c:ser>
          <c:idx val="9"/>
          <c:order val="2"/>
          <c:tx>
            <c:strRef>
              <c:f>Correl!$L$1</c:f>
              <c:strCache>
                <c:ptCount val="1"/>
                <c:pt idx="0">
                  <c:v>Crude Inflation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Correl!$B$2:$B$30</c:f>
              <c:numCache>
                <c:formatCode>General</c:formatCode>
                <c:ptCount val="29"/>
                <c:pt idx="0">
                  <c:v>2021</c:v>
                </c:pt>
                <c:pt idx="1">
                  <c:v>2021</c:v>
                </c:pt>
                <c:pt idx="2">
                  <c:v>2021</c:v>
                </c:pt>
                <c:pt idx="3">
                  <c:v>2021</c:v>
                </c:pt>
                <c:pt idx="4">
                  <c:v>2021</c:v>
                </c:pt>
                <c:pt idx="5">
                  <c:v>2021</c:v>
                </c:pt>
                <c:pt idx="6">
                  <c:v>2021</c:v>
                </c:pt>
                <c:pt idx="7">
                  <c:v>2021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2022</c:v>
                </c:pt>
                <c:pt idx="17">
                  <c:v>2022</c:v>
                </c:pt>
                <c:pt idx="18">
                  <c:v>2022</c:v>
                </c:pt>
                <c:pt idx="19">
                  <c:v>2022</c:v>
                </c:pt>
                <c:pt idx="20">
                  <c:v>2022</c:v>
                </c:pt>
                <c:pt idx="21">
                  <c:v>2022</c:v>
                </c:pt>
                <c:pt idx="22">
                  <c:v>2022</c:v>
                </c:pt>
                <c:pt idx="23">
                  <c:v>2022</c:v>
                </c:pt>
                <c:pt idx="24">
                  <c:v>2023</c:v>
                </c:pt>
                <c:pt idx="25">
                  <c:v>2023</c:v>
                </c:pt>
                <c:pt idx="26">
                  <c:v>2023</c:v>
                </c:pt>
                <c:pt idx="27">
                  <c:v>2023</c:v>
                </c:pt>
                <c:pt idx="28">
                  <c:v>2023</c:v>
                </c:pt>
              </c:numCache>
            </c:numRef>
          </c:cat>
          <c:val>
            <c:numRef>
              <c:f>Correl!$L$2:$L$30</c:f>
              <c:numCache>
                <c:formatCode>0.00</c:formatCode>
                <c:ptCount val="29"/>
                <c:pt idx="1">
                  <c:v>-17.042151162790702</c:v>
                </c:pt>
                <c:pt idx="2">
                  <c:v>2.6078857497671528</c:v>
                </c:pt>
                <c:pt idx="3">
                  <c:v>-6.4073956008925776</c:v>
                </c:pt>
                <c:pt idx="4">
                  <c:v>-3.2804074295985588</c:v>
                </c:pt>
                <c:pt idx="5">
                  <c:v>-8.2233502538071086</c:v>
                </c:pt>
                <c:pt idx="6">
                  <c:v>-1.058697400160804</c:v>
                </c:pt>
                <c:pt idx="7">
                  <c:v>5.0125977987004386</c:v>
                </c:pt>
                <c:pt idx="8">
                  <c:v>-9.3257015217087922</c:v>
                </c:pt>
                <c:pt idx="9">
                  <c:v>-6.9084408121568073</c:v>
                </c:pt>
                <c:pt idx="10">
                  <c:v>17.307692307692303</c:v>
                </c:pt>
                <c:pt idx="11">
                  <c:v>-11.729019211324555</c:v>
                </c:pt>
                <c:pt idx="12">
                  <c:v>-15.397543632837765</c:v>
                </c:pt>
                <c:pt idx="13">
                  <c:v>-9.7580103069683997</c:v>
                </c:pt>
                <c:pt idx="14">
                  <c:v>-6.8796570378687303</c:v>
                </c:pt>
                <c:pt idx="15">
                  <c:v>-2.3206952535574512</c:v>
                </c:pt>
                <c:pt idx="16">
                  <c:v>-7.8962105656150774</c:v>
                </c:pt>
                <c:pt idx="17">
                  <c:v>5.6833910034602013</c:v>
                </c:pt>
                <c:pt idx="18">
                  <c:v>4.6409245161882069</c:v>
                </c:pt>
                <c:pt idx="19">
                  <c:v>8.0119265172645928</c:v>
                </c:pt>
                <c:pt idx="20">
                  <c:v>10.978670012547051</c:v>
                </c:pt>
                <c:pt idx="21">
                  <c:v>-9.0086915668311036</c:v>
                </c:pt>
                <c:pt idx="22">
                  <c:v>6.292425385195564</c:v>
                </c:pt>
                <c:pt idx="23">
                  <c:v>1.51776474646429</c:v>
                </c:pt>
                <c:pt idx="24">
                  <c:v>0.22183304144776642</c:v>
                </c:pt>
                <c:pt idx="25">
                  <c:v>2.3519775333489248</c:v>
                </c:pt>
                <c:pt idx="26">
                  <c:v>4.2660275614140231</c:v>
                </c:pt>
                <c:pt idx="27">
                  <c:v>-0.55075729127550099</c:v>
                </c:pt>
                <c:pt idx="28">
                  <c:v>9.6228059255570813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E5-4CDF-8AC9-A1286139E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63407"/>
        <c:axId val="122162927"/>
      </c:lineChart>
      <c:catAx>
        <c:axId val="122163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62927"/>
        <c:crosses val="autoZero"/>
        <c:auto val="1"/>
        <c:lblAlgn val="ctr"/>
        <c:lblOffset val="100"/>
        <c:noMultiLvlLbl val="0"/>
      </c:catAx>
      <c:valAx>
        <c:axId val="1221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6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60960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534894-E18B-723C-8A5C-0501DA3089D6}"/>
            </a:ext>
          </a:extLst>
        </xdr:cNvPr>
        <xdr:cNvSpPr txBox="1"/>
      </xdr:nvSpPr>
      <xdr:spPr>
        <a:xfrm>
          <a:off x="191947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9EF60C-06AE-49BD-ADE1-A713D3E032C2}"/>
            </a:ext>
          </a:extLst>
        </xdr:cNvPr>
        <xdr:cNvSpPr txBox="1"/>
      </xdr:nvSpPr>
      <xdr:spPr>
        <a:xfrm>
          <a:off x="193852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94BEF7B-1A1A-42CC-87F4-9A2DBA930BCA}"/>
            </a:ext>
          </a:extLst>
        </xdr:cNvPr>
        <xdr:cNvSpPr txBox="1"/>
      </xdr:nvSpPr>
      <xdr:spPr>
        <a:xfrm>
          <a:off x="193852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4CC4862-D95E-4BAE-B880-B65FE6219B1E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5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39EBC86-C975-40F9-B371-76556395C7D7}"/>
            </a:ext>
          </a:extLst>
        </xdr:cNvPr>
        <xdr:cNvSpPr txBox="1"/>
      </xdr:nvSpPr>
      <xdr:spPr>
        <a:xfrm>
          <a:off x="193852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6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7C029B-DEF3-485B-B0F3-77B3D8D76B4F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D04ED6-E6C9-4096-82C9-17A44DA9A922}"/>
            </a:ext>
          </a:extLst>
        </xdr:cNvPr>
        <xdr:cNvSpPr txBox="1"/>
      </xdr:nvSpPr>
      <xdr:spPr>
        <a:xfrm>
          <a:off x="193852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7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12C348-FFD3-4ECA-899F-F7CBB6D0B422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913868-176A-4BF9-92C9-64CBB47E9E56}"/>
            </a:ext>
          </a:extLst>
        </xdr:cNvPr>
        <xdr:cNvSpPr txBox="1"/>
      </xdr:nvSpPr>
      <xdr:spPr>
        <a:xfrm>
          <a:off x="193852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4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DF76FEC-6CBF-412F-876E-4EC00E6CDC70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4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AF25110-3C65-4099-9919-CD86D7900D17}"/>
            </a:ext>
          </a:extLst>
        </xdr:cNvPr>
        <xdr:cNvSpPr txBox="1"/>
      </xdr:nvSpPr>
      <xdr:spPr>
        <a:xfrm>
          <a:off x="193852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5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38DFBC2-8CEF-4964-9C02-801CEBB09D78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79F929F-16A1-41AC-9002-3F61F9AB40B4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4D6D9B5-8E96-4A8E-A9B2-2BD314122CFC}"/>
            </a:ext>
          </a:extLst>
        </xdr:cNvPr>
        <xdr:cNvSpPr txBox="1"/>
      </xdr:nvSpPr>
      <xdr:spPr>
        <a:xfrm>
          <a:off x="193852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6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1779F09-5BF5-4BCF-AA99-E4F053EF593B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6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CAD4120-A503-4562-89B8-714A57E3CB3B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6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D551642-B89C-4E87-9BE8-C0FB43F5B1CA}"/>
            </a:ext>
          </a:extLst>
        </xdr:cNvPr>
        <xdr:cNvSpPr txBox="1"/>
      </xdr:nvSpPr>
      <xdr:spPr>
        <a:xfrm>
          <a:off x="19385280" y="38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7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E21B59-5738-48FB-8FC1-24E056A31236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25</xdr:col>
      <xdr:colOff>60960</xdr:colOff>
      <xdr:row>7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46BA09C-FBAC-4304-89D8-982C8F0003F8}"/>
            </a:ext>
          </a:extLst>
        </xdr:cNvPr>
        <xdr:cNvSpPr txBox="1"/>
      </xdr:nvSpPr>
      <xdr:spPr>
        <a:xfrm>
          <a:off x="19385280" y="563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22860</xdr:colOff>
      <xdr:row>2</xdr:row>
      <xdr:rowOff>152400</xdr:rowOff>
    </xdr:from>
    <xdr:to>
      <xdr:col>31</xdr:col>
      <xdr:colOff>304800</xdr:colOff>
      <xdr:row>5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598548-E275-3400-1CB8-A8F96E4A24EC}"/>
            </a:ext>
          </a:extLst>
        </xdr:cNvPr>
        <xdr:cNvSpPr txBox="1"/>
      </xdr:nvSpPr>
      <xdr:spPr>
        <a:xfrm>
          <a:off x="25252680" y="518160"/>
          <a:ext cx="4145280" cy="4876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* Highest M-o-M food inflation is</a:t>
          </a:r>
          <a:r>
            <a:rPr lang="en-IN" baseline="0"/>
            <a:t> in the month of May 2023 and is lowest in the month of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February</a:t>
          </a:r>
          <a:r>
            <a:rPr lang="en-IN"/>
            <a:t> 2023.</a:t>
          </a:r>
        </a:p>
        <a:p>
          <a:endParaRPr lang="en-IN" sz="1100"/>
        </a:p>
        <a:p>
          <a:endParaRPr lang="en-IN" sz="1100"/>
        </a:p>
      </xdr:txBody>
    </xdr:sp>
    <xdr:clientData/>
  </xdr:twoCellAnchor>
  <xdr:twoCellAnchor>
    <xdr:from>
      <xdr:col>37</xdr:col>
      <xdr:colOff>125506</xdr:colOff>
      <xdr:row>37</xdr:row>
      <xdr:rowOff>44824</xdr:rowOff>
    </xdr:from>
    <xdr:to>
      <xdr:col>43</xdr:col>
      <xdr:colOff>98612</xdr:colOff>
      <xdr:row>42</xdr:row>
      <xdr:rowOff>35859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D546CF-B4BB-4C72-FAAE-D81FF381129D}"/>
            </a:ext>
          </a:extLst>
        </xdr:cNvPr>
        <xdr:cNvSpPr txBox="1"/>
      </xdr:nvSpPr>
      <xdr:spPr>
        <a:xfrm>
          <a:off x="37418682" y="6678706"/>
          <a:ext cx="3783106" cy="88750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0"/>
            <a:t>* </a:t>
          </a:r>
          <a:r>
            <a:rPr lang="en-IN" b="1"/>
            <a:t>Vegetables</a:t>
          </a:r>
          <a:r>
            <a:rPr lang="en-IN"/>
            <a:t> had the highest cumulative month-on-month price change (</a:t>
          </a:r>
          <a:r>
            <a:rPr lang="en-IN" b="1"/>
            <a:t>4037.22%</a:t>
          </a:r>
          <a:r>
            <a:rPr lang="en-IN"/>
            <a:t>) between June 2022 and May 2023, making it the </a:t>
          </a:r>
          <a:r>
            <a:rPr lang="en-IN" b="1"/>
            <a:t>largest individual category contributor</a:t>
          </a:r>
          <a:r>
            <a:rPr lang="en-IN"/>
            <a:t> to overall food inflation during the period.</a:t>
          </a:r>
          <a:endParaRPr lang="en-IN" sz="1100"/>
        </a:p>
      </xdr:txBody>
    </xdr:sp>
    <xdr:clientData/>
  </xdr:twoCellAnchor>
  <xdr:twoCellAnchor>
    <xdr:from>
      <xdr:col>22</xdr:col>
      <xdr:colOff>388620</xdr:colOff>
      <xdr:row>51</xdr:row>
      <xdr:rowOff>118110</xdr:rowOff>
    </xdr:from>
    <xdr:to>
      <xdr:col>27</xdr:col>
      <xdr:colOff>662940</xdr:colOff>
      <xdr:row>66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FA63A-67F9-C0D4-5716-F18BD62F1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2</xdr:row>
      <xdr:rowOff>99060</xdr:rowOff>
    </xdr:from>
    <xdr:to>
      <xdr:col>15</xdr:col>
      <xdr:colOff>502920</xdr:colOff>
      <xdr:row>5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D3F7B8-47BD-ED58-4DBD-F77C710A5622}"/>
            </a:ext>
          </a:extLst>
        </xdr:cNvPr>
        <xdr:cNvSpPr txBox="1"/>
      </xdr:nvSpPr>
      <xdr:spPr>
        <a:xfrm>
          <a:off x="5158740" y="464820"/>
          <a:ext cx="3909060" cy="5562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For </a:t>
          </a:r>
          <a:r>
            <a:rPr lang="en-IN" sz="1100" b="1"/>
            <a:t>Crude oil</a:t>
          </a:r>
          <a:r>
            <a:rPr lang="en-IN" sz="1100" baseline="0"/>
            <a:t>  the </a:t>
          </a:r>
          <a:r>
            <a:rPr lang="en-IN" sz="1100"/>
            <a:t>Data imported from </a:t>
          </a:r>
          <a:r>
            <a:rPr lang="en-IN" sz="1100" b="1"/>
            <a:t>web (Investing.com)</a:t>
          </a:r>
          <a:r>
            <a:rPr lang="en-IN" sz="1100" b="1" baseline="0"/>
            <a:t> </a:t>
          </a:r>
          <a:r>
            <a:rPr lang="en-IN" sz="1100" b="0" baseline="0"/>
            <a:t>for the period </a:t>
          </a:r>
          <a:r>
            <a:rPr lang="en-IN" sz="1100" b="1" baseline="0"/>
            <a:t>1st January 2021 to 31st May 2023.</a:t>
          </a:r>
          <a:endParaRPr lang="en-IN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37E86-8163-4571-9B8F-7E2064DD4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</xdr:row>
      <xdr:rowOff>0</xdr:rowOff>
    </xdr:from>
    <xdr:to>
      <xdr:col>14</xdr:col>
      <xdr:colOff>594360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6A4C5-720C-44A7-973B-5D9A11001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601980</xdr:colOff>
      <xdr:row>2</xdr:row>
      <xdr:rowOff>0</xdr:rowOff>
    </xdr:from>
    <xdr:to>
      <xdr:col>23</xdr:col>
      <xdr:colOff>8965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5F8EB6-9ECD-4814-87B4-70A8E42F4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350520</xdr:colOff>
      <xdr:row>4</xdr:row>
      <xdr:rowOff>129540</xdr:rowOff>
    </xdr:from>
    <xdr:to>
      <xdr:col>27</xdr:col>
      <xdr:colOff>533400</xdr:colOff>
      <xdr:row>7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F85CBA-F364-09A3-3CCB-616E957031D1}"/>
            </a:ext>
          </a:extLst>
        </xdr:cNvPr>
        <xdr:cNvSpPr txBox="1"/>
      </xdr:nvSpPr>
      <xdr:spPr>
        <a:xfrm>
          <a:off x="13761720" y="495300"/>
          <a:ext cx="3230880" cy="571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Here we can see that "</a:t>
          </a:r>
          <a:r>
            <a:rPr lang="en-IN" sz="1100">
              <a:solidFill>
                <a:schemeClr val="tx2">
                  <a:lumMod val="75000"/>
                  <a:lumOff val="25000"/>
                </a:schemeClr>
              </a:solidFill>
            </a:rPr>
            <a:t>Food</a:t>
          </a:r>
          <a:r>
            <a:rPr lang="en-IN" sz="1100"/>
            <a:t>" Items</a:t>
          </a:r>
          <a:r>
            <a:rPr lang="en-IN" sz="1100" baseline="0"/>
            <a:t> have the highest contribution in every month  according to  numbers.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20</xdr:row>
      <xdr:rowOff>22860</xdr:rowOff>
    </xdr:from>
    <xdr:to>
      <xdr:col>7</xdr:col>
      <xdr:colOff>304800</xdr:colOff>
      <xdr:row>35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EBE8B9-DFE1-430F-9EBD-2F1E8F6EF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320040</xdr:colOff>
      <xdr:row>20</xdr:row>
      <xdr:rowOff>15240</xdr:rowOff>
    </xdr:from>
    <xdr:to>
      <xdr:col>15</xdr:col>
      <xdr:colOff>15240</xdr:colOff>
      <xdr:row>35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265DAB-2467-4D43-B6C7-FEFA73277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22860</xdr:colOff>
      <xdr:row>20</xdr:row>
      <xdr:rowOff>15240</xdr:rowOff>
    </xdr:from>
    <xdr:to>
      <xdr:col>22</xdr:col>
      <xdr:colOff>327660</xdr:colOff>
      <xdr:row>35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545392-9ECD-4616-ACEA-E0360C53C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365760</xdr:colOff>
      <xdr:row>21</xdr:row>
      <xdr:rowOff>53340</xdr:rowOff>
    </xdr:from>
    <xdr:to>
      <xdr:col>29</xdr:col>
      <xdr:colOff>312420</xdr:colOff>
      <xdr:row>30</xdr:row>
      <xdr:rowOff>160020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60A292F-6B53-5942-30A9-76820E4931FE}"/>
            </a:ext>
          </a:extLst>
        </xdr:cNvPr>
        <xdr:cNvSpPr txBox="1"/>
      </xdr:nvSpPr>
      <xdr:spPr>
        <a:xfrm>
          <a:off x="13776960" y="3528060"/>
          <a:ext cx="4213860" cy="1752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1. In Rural sector Personal/Care has more influance</a:t>
          </a:r>
          <a:r>
            <a:rPr lang="en-IN" sz="1100" baseline="0"/>
            <a:t> on CPI with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20.15%</a:t>
          </a:r>
          <a:r>
            <a:rPr lang="en-IN"/>
            <a:t> in the month of May &amp;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Miscellaneous has lowest in the month of January i.e. 19.82%</a:t>
          </a:r>
          <a:r>
            <a:rPr lang="en-IN"/>
            <a:t>.</a:t>
          </a:r>
        </a:p>
        <a:p>
          <a:r>
            <a:rPr lang="en-IN" sz="1100"/>
            <a:t>2. In Urban sector Food has</a:t>
          </a:r>
          <a:r>
            <a:rPr lang="en-IN" sz="1100" baseline="0"/>
            <a:t> </a:t>
          </a:r>
          <a:r>
            <a:rPr lang="en-IN" sz="1100"/>
            <a:t> highest percentage of  20.18% in May &amp; Energy has lowest i.e. 19.77%</a:t>
          </a:r>
          <a:r>
            <a:rPr lang="en-IN" sz="1100" baseline="0"/>
            <a:t> in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January</a:t>
          </a:r>
          <a:r>
            <a:rPr lang="en-IN"/>
            <a:t> </a:t>
          </a:r>
          <a:r>
            <a:rPr lang="en-IN" sz="1100"/>
            <a:t>.</a:t>
          </a:r>
        </a:p>
        <a:p>
          <a:r>
            <a:rPr lang="en-IN" sz="1100"/>
            <a:t>3. Rural+Urban Sector</a:t>
          </a:r>
          <a:r>
            <a:rPr lang="en-IN" sz="1100" baseline="0"/>
            <a:t>, Personal/Care has both highest &amp; lowest percentage i.e 20.16%, 19.82%.</a:t>
          </a:r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In the month of May, Every bucket has maximum percentage value</a:t>
          </a:r>
          <a:endParaRPr lang="en-IN" sz="1100"/>
        </a:p>
      </xdr:txBody>
    </xdr:sp>
    <xdr:clientData/>
  </xdr:twoCellAnchor>
  <xdr:twoCellAnchor>
    <xdr:from>
      <xdr:col>0</xdr:col>
      <xdr:colOff>0</xdr:colOff>
      <xdr:row>38</xdr:row>
      <xdr:rowOff>13895</xdr:rowOff>
    </xdr:from>
    <xdr:to>
      <xdr:col>7</xdr:col>
      <xdr:colOff>304800</xdr:colOff>
      <xdr:row>53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0CD7B6-7F5B-4C58-8B5C-0FF78E9FB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311075</xdr:colOff>
      <xdr:row>38</xdr:row>
      <xdr:rowOff>15240</xdr:rowOff>
    </xdr:from>
    <xdr:to>
      <xdr:col>15</xdr:col>
      <xdr:colOff>6275</xdr:colOff>
      <xdr:row>53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28A9C6-84F8-480A-90AA-BEEBA7E8C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9861</xdr:colOff>
      <xdr:row>38</xdr:row>
      <xdr:rowOff>4931</xdr:rowOff>
    </xdr:from>
    <xdr:to>
      <xdr:col>30</xdr:col>
      <xdr:colOff>558501</xdr:colOff>
      <xdr:row>52</xdr:row>
      <xdr:rowOff>123265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FE571C-96D1-0863-8279-21E9B32A08C4}"/>
            </a:ext>
          </a:extLst>
        </xdr:cNvPr>
        <xdr:cNvSpPr txBox="1"/>
      </xdr:nvSpPr>
      <xdr:spPr>
        <a:xfrm>
          <a:off x="13761720" y="6827072"/>
          <a:ext cx="4815840" cy="262845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tx2">
                  <a:lumMod val="75000"/>
                  <a:lumOff val="25000"/>
                </a:schemeClr>
              </a:solidFill>
            </a:rPr>
            <a:t>1. </a:t>
          </a:r>
          <a:r>
            <a:rPr lang="en-IN"/>
            <a:t>In 2021 and 2022, India experienced a surge in inflation primarily due to a combination of factors related to global supply chain disruptions and increased international commodity prices, particularly for crude oil and edible oils.</a:t>
          </a:r>
        </a:p>
        <a:p>
          <a:endParaRPr lang="en-IN" sz="1100"/>
        </a:p>
        <a:p>
          <a:r>
            <a:rPr lang="en-IN" sz="1100">
              <a:solidFill>
                <a:schemeClr val="tx2">
                  <a:lumMod val="75000"/>
                  <a:lumOff val="25000"/>
                </a:schemeClr>
              </a:solidFill>
            </a:rPr>
            <a:t>2. </a:t>
          </a:r>
          <a:r>
            <a:rPr lang="en-IN"/>
            <a:t>The rise in inflation during these years can be attributed to various factors, including global price volatility, domestic production challenges, and the impact of the COVID-19 pandemic.</a:t>
          </a:r>
        </a:p>
        <a:p>
          <a:endParaRPr lang="en-IN" sz="1100">
            <a:solidFill>
              <a:schemeClr val="tx2">
                <a:lumMod val="75000"/>
                <a:lumOff val="25000"/>
              </a:schemeClr>
            </a:solidFill>
          </a:endParaRPr>
        </a:p>
        <a:p>
          <a:r>
            <a:rPr lang="en-IN" sz="1100">
              <a:solidFill>
                <a:schemeClr val="tx2">
                  <a:lumMod val="75000"/>
                  <a:lumOff val="25000"/>
                </a:schemeClr>
              </a:solidFill>
            </a:rPr>
            <a:t>3. </a:t>
          </a:r>
          <a:r>
            <a:rPr lang="en-IN"/>
            <a:t>Moderate decline, possibly due to external factors (Due</a:t>
          </a:r>
          <a:r>
            <a:rPr lang="en-IN" baseline="0"/>
            <a:t> to</a:t>
          </a:r>
          <a:r>
            <a:rPr lang="en-IN"/>
            <a:t> COVID-19). From </a:t>
          </a:r>
          <a:r>
            <a:rPr lang="en-IN" b="1"/>
            <a:t>2020 to 2022</a:t>
          </a:r>
          <a:r>
            <a:rPr lang="en-IN"/>
            <a:t>, there's a strong recovery and growth period. But in </a:t>
          </a:r>
          <a:r>
            <a:rPr lang="en-IN" b="1"/>
            <a:t>2023</a:t>
          </a:r>
          <a:r>
            <a:rPr lang="en-IN" baseline="0"/>
            <a:t> it showed a sharp dip with </a:t>
          </a:r>
          <a:r>
            <a:rPr lang="en-IN" b="1" baseline="0"/>
            <a:t>-44.56% </a:t>
          </a:r>
          <a:r>
            <a:rPr lang="en-IN" b="0" baseline="0"/>
            <a:t>which is biggest negative change.</a:t>
          </a:r>
          <a:endParaRPr lang="en-IN" sz="11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15</xdr:col>
      <xdr:colOff>22860</xdr:colOff>
      <xdr:row>38</xdr:row>
      <xdr:rowOff>7620</xdr:rowOff>
    </xdr:from>
    <xdr:to>
      <xdr:col>22</xdr:col>
      <xdr:colOff>365760</xdr:colOff>
      <xdr:row>53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8EE66B4-5431-4559-BAC7-619B132B8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7</xdr:col>
      <xdr:colOff>304800</xdr:colOff>
      <xdr:row>71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88E63AD-820E-457A-9412-3398BC0D5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303166</xdr:colOff>
      <xdr:row>55</xdr:row>
      <xdr:rowOff>2970</xdr:rowOff>
    </xdr:from>
    <xdr:to>
      <xdr:col>15</xdr:col>
      <xdr:colOff>35860</xdr:colOff>
      <xdr:row>70</xdr:row>
      <xdr:rowOff>178905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EBEEE0A-DD90-4EFF-834E-168800882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26895</xdr:colOff>
      <xdr:row>56</xdr:row>
      <xdr:rowOff>120128</xdr:rowOff>
    </xdr:from>
    <xdr:to>
      <xdr:col>30</xdr:col>
      <xdr:colOff>493449</xdr:colOff>
      <xdr:row>68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ED9FD4A-EA11-C864-F85E-20F90D03C7CC}"/>
            </a:ext>
          </a:extLst>
        </xdr:cNvPr>
        <xdr:cNvSpPr txBox="1"/>
      </xdr:nvSpPr>
      <xdr:spPr>
        <a:xfrm>
          <a:off x="13778754" y="10169563"/>
          <a:ext cx="4733754" cy="218380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Highest M-o-M food inflation is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month of May 2023 and is lowest in the month of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February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2023.</a:t>
          </a:r>
          <a:endParaRPr lang="en-IN">
            <a:effectLst/>
          </a:endParaRPr>
        </a:p>
        <a:p>
          <a:endParaRPr lang="en-I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*</a:t>
          </a:r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Vegetables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had the highest cumulative month-on-month price change (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4037.22%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between June 2022 and May 2023, making it the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largest individual category contributor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overall food inflation during the period &amp;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Non-alcoholic beverages</a:t>
          </a:r>
          <a:r>
            <a:rPr lang="en-IN"/>
            <a:t>  was smallest</a:t>
          </a:r>
          <a:r>
            <a:rPr lang="en-IN" baseline="0"/>
            <a:t> contributor (</a:t>
          </a:r>
          <a:r>
            <a:rPr lang="en-IN" b="1" baseline="0"/>
            <a:t>322.88%</a:t>
          </a:r>
          <a:r>
            <a:rPr lang="en-IN" b="0" baseline="0"/>
            <a:t>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="0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 baseline="0">
              <a:effectLst/>
            </a:rPr>
            <a:t>*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Vegetables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had the highest average (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336.43%</a:t>
          </a:r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&amp; </a:t>
          </a: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Non-alcoholic beverages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are with least average (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26.91%).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15</xdr:col>
      <xdr:colOff>44825</xdr:colOff>
      <xdr:row>55</xdr:row>
      <xdr:rowOff>0</xdr:rowOff>
    </xdr:from>
    <xdr:to>
      <xdr:col>23</xdr:col>
      <xdr:colOff>8966</xdr:colOff>
      <xdr:row>71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5EE2C5-E314-4F20-B998-09D018A02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8960</xdr:colOff>
      <xdr:row>73</xdr:row>
      <xdr:rowOff>13641</xdr:rowOff>
    </xdr:from>
    <xdr:to>
      <xdr:col>7</xdr:col>
      <xdr:colOff>313760</xdr:colOff>
      <xdr:row>89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BBAEA4-4841-4778-B2CD-D16A1F802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97534</xdr:colOff>
      <xdr:row>73</xdr:row>
      <xdr:rowOff>14798</xdr:rowOff>
    </xdr:from>
    <xdr:to>
      <xdr:col>22</xdr:col>
      <xdr:colOff>332509</xdr:colOff>
      <xdr:row>88</xdr:row>
      <xdr:rowOff>138544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FCE9A9-A038-C0FE-6774-7DAD6F868EDB}"/>
            </a:ext>
          </a:extLst>
        </xdr:cNvPr>
        <xdr:cNvSpPr txBox="1"/>
      </xdr:nvSpPr>
      <xdr:spPr>
        <a:xfrm>
          <a:off x="9241534" y="13010362"/>
          <a:ext cx="4502175" cy="283923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Blue</a:t>
          </a:r>
          <a:r>
            <a:rPr lang="en-IN" sz="1100" b="1" baseline="0"/>
            <a:t> line shows the data before and Green one shows the after effect of COVID19 on CPI inflation .</a:t>
          </a:r>
        </a:p>
        <a:p>
          <a:endParaRPr lang="en-IN" sz="1100" baseline="0"/>
        </a:p>
        <a:p>
          <a:r>
            <a:rPr lang="en-IN" sz="1100" baseline="0"/>
            <a:t>* Before COVID inflation data for food is greater than after data.</a:t>
          </a:r>
        </a:p>
        <a:p>
          <a:endParaRPr lang="en-IN" sz="1100" baseline="0"/>
        </a:p>
        <a:p>
          <a:r>
            <a:rPr lang="en-IN" sz="1100" baseline="0"/>
            <a:t>* After pendemic Fuel &amp; Energy sector inflation rise drastically from 50.28% to 76.98%.</a:t>
          </a:r>
        </a:p>
        <a:p>
          <a:endParaRPr lang="en-IN" sz="1100"/>
        </a:p>
        <a:p>
          <a:r>
            <a:rPr lang="en-IN" sz="1100"/>
            <a:t>*</a:t>
          </a:r>
          <a:r>
            <a:rPr lang="en-IN" sz="1100" baseline="0"/>
            <a:t> Gneral Index had a minor incresae in inflation from 45.72% to 47.77%.</a:t>
          </a:r>
        </a:p>
        <a:p>
          <a:endParaRPr lang="en-IN" sz="1100"/>
        </a:p>
        <a:p>
          <a:r>
            <a:rPr lang="en-IN" sz="1100"/>
            <a:t>* Fuel &amp; Energy</a:t>
          </a:r>
          <a:r>
            <a:rPr lang="en-IN" sz="1100" baseline="0"/>
            <a:t> has highest difference in inflation with 26.69% &amp; General Index has least 2.05%.</a:t>
          </a:r>
          <a:endParaRPr lang="en-IN" sz="1100"/>
        </a:p>
      </xdr:txBody>
    </xdr:sp>
    <xdr:clientData/>
  </xdr:twoCellAnchor>
  <xdr:twoCellAnchor>
    <xdr:from>
      <xdr:col>7</xdr:col>
      <xdr:colOff>318053</xdr:colOff>
      <xdr:row>73</xdr:row>
      <xdr:rowOff>19871</xdr:rowOff>
    </xdr:from>
    <xdr:to>
      <xdr:col>15</xdr:col>
      <xdr:colOff>66261</xdr:colOff>
      <xdr:row>88</xdr:row>
      <xdr:rowOff>185530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2E9939B-AC68-4C0E-802F-8D40310B9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7</xdr:col>
      <xdr:colOff>304800</xdr:colOff>
      <xdr:row>106</xdr:row>
      <xdr:rowOff>41564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0D1FEA8-C215-4254-8C5E-08792D104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310101</xdr:colOff>
      <xdr:row>91</xdr:row>
      <xdr:rowOff>2650</xdr:rowOff>
    </xdr:from>
    <xdr:to>
      <xdr:col>15</xdr:col>
      <xdr:colOff>5301</xdr:colOff>
      <xdr:row>106</xdr:row>
      <xdr:rowOff>45720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6D7C519-7FAC-4557-A216-5E08F92F7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15240</xdr:colOff>
      <xdr:row>91</xdr:row>
      <xdr:rowOff>15240</xdr:rowOff>
    </xdr:from>
    <xdr:to>
      <xdr:col>22</xdr:col>
      <xdr:colOff>318383</xdr:colOff>
      <xdr:row>106</xdr:row>
      <xdr:rowOff>45720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5786254-A1EE-4C63-9035-DFF0EAAB6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7620</xdr:colOff>
      <xdr:row>106</xdr:row>
      <xdr:rowOff>53340</xdr:rowOff>
    </xdr:from>
    <xdr:to>
      <xdr:col>7</xdr:col>
      <xdr:colOff>312420</xdr:colOff>
      <xdr:row>121</xdr:row>
      <xdr:rowOff>16234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2197F52-7F1D-43FD-AA19-F954F948A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327660</xdr:colOff>
      <xdr:row>106</xdr:row>
      <xdr:rowOff>53340</xdr:rowOff>
    </xdr:from>
    <xdr:to>
      <xdr:col>15</xdr:col>
      <xdr:colOff>22860</xdr:colOff>
      <xdr:row>121</xdr:row>
      <xdr:rowOff>53340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CD764AF-35B7-4AF6-B2EC-D758098EB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67733</xdr:colOff>
      <xdr:row>106</xdr:row>
      <xdr:rowOff>84667</xdr:rowOff>
    </xdr:from>
    <xdr:to>
      <xdr:col>23</xdr:col>
      <xdr:colOff>211667</xdr:colOff>
      <xdr:row>121</xdr:row>
      <xdr:rowOff>76200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8D7DF7F-11BD-0E46-F90D-50AFD5F57EFA}"/>
            </a:ext>
          </a:extLst>
        </xdr:cNvPr>
        <xdr:cNvSpPr txBox="1"/>
      </xdr:nvSpPr>
      <xdr:spPr>
        <a:xfrm>
          <a:off x="9211733" y="19668067"/>
          <a:ext cx="4758267" cy="278553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* Fuel prices appear to be </a:t>
          </a:r>
          <a:r>
            <a:rPr lang="en-IN" b="1"/>
            <a:t>less responsive to crude price changes</a:t>
          </a:r>
          <a:r>
            <a:rPr lang="en-IN"/>
            <a:t>, possibly due to government price controls.</a:t>
          </a:r>
        </a:p>
        <a:p>
          <a:endParaRPr lang="en-IN"/>
        </a:p>
        <a:p>
          <a:r>
            <a:rPr lang="en-IN" sz="1100"/>
            <a:t>* </a:t>
          </a:r>
          <a:r>
            <a:rPr lang="en-IN"/>
            <a:t>Crude fluctuations </a:t>
          </a:r>
          <a:r>
            <a:rPr lang="en-IN" b="1"/>
            <a:t>do not proportionally affect</a:t>
          </a:r>
          <a:r>
            <a:rPr lang="en-IN"/>
            <a:t> transport costs, reason could be logistics contracts, fixed fuel surcharges.</a:t>
          </a:r>
        </a:p>
        <a:p>
          <a:endParaRPr lang="en-IN"/>
        </a:p>
        <a:p>
          <a:r>
            <a:rPr lang="en-IN" sz="1100"/>
            <a:t>* T</a:t>
          </a:r>
          <a:r>
            <a:rPr lang="en-IN"/>
            <a:t>he </a:t>
          </a:r>
          <a:r>
            <a:rPr lang="en-IN" b="1"/>
            <a:t>general CPI index </a:t>
          </a:r>
          <a:r>
            <a:rPr lang="en-IN" b="0"/>
            <a:t>is</a:t>
          </a:r>
          <a:r>
            <a:rPr lang="en-IN" b="1"/>
            <a:t> not </a:t>
          </a:r>
          <a:r>
            <a:rPr lang="en-IN" b="0"/>
            <a:t>linked to </a:t>
          </a:r>
          <a:r>
            <a:rPr lang="en-IN" b="1"/>
            <a:t>crude prices.</a:t>
          </a:r>
        </a:p>
        <a:p>
          <a:endParaRPr lang="en-IN" b="1"/>
        </a:p>
        <a:p>
          <a:r>
            <a:rPr lang="en-IN" sz="1100" b="1"/>
            <a:t>* </a:t>
          </a:r>
          <a:r>
            <a:rPr lang="en-IN"/>
            <a:t>Crude prices are </a:t>
          </a:r>
          <a:r>
            <a:rPr lang="en-IN" b="1"/>
            <a:t>volatile and cyclical</a:t>
          </a:r>
          <a:r>
            <a:rPr lang="en-IN"/>
            <a:t>, but inflation indices are </a:t>
          </a:r>
          <a:r>
            <a:rPr lang="en-IN" b="1"/>
            <a:t>smoother and gradually rising </a:t>
          </a:r>
          <a:r>
            <a:rPr lang="en-IN"/>
            <a:t>suggesting </a:t>
          </a:r>
          <a:r>
            <a:rPr lang="en-IN" b="1"/>
            <a:t>pass-through effects</a:t>
          </a:r>
          <a:r>
            <a:rPr lang="en-IN"/>
            <a:t>.</a:t>
          </a:r>
        </a:p>
        <a:p>
          <a:endParaRPr lang="en-IN"/>
        </a:p>
        <a:p>
          <a:r>
            <a:rPr lang="en-IN" sz="1100"/>
            <a:t>* </a:t>
          </a:r>
          <a:r>
            <a:rPr lang="en-IN"/>
            <a:t>Sharp rise in crude inflation likely because</a:t>
          </a:r>
          <a:r>
            <a:rPr lang="en-IN" baseline="0"/>
            <a:t> of </a:t>
          </a:r>
          <a:r>
            <a:rPr lang="en-IN"/>
            <a:t> global events (Russia-Ukraine war)</a:t>
          </a:r>
          <a:r>
            <a:rPr lang="en-IN" baseline="0"/>
            <a:t> </a:t>
          </a:r>
          <a:r>
            <a:rPr lang="en-IN" b="1" baseline="0"/>
            <a:t>b</a:t>
          </a:r>
          <a:r>
            <a:rPr lang="en-IN" b="1"/>
            <a:t>ut CPI inflation didn't spike equivalently</a:t>
          </a:r>
          <a:r>
            <a:rPr lang="en-IN"/>
            <a:t>, again suggesting </a:t>
          </a:r>
          <a:r>
            <a:rPr lang="en-IN" b="1"/>
            <a:t>crude price increases </a:t>
          </a:r>
          <a:r>
            <a:rPr lang="en-IN" b="0"/>
            <a:t>are not fully passed to </a:t>
          </a:r>
          <a:r>
            <a:rPr lang="en-IN" b="1"/>
            <a:t>consumers according to dataset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936DF25-C5C0-4B8D-A63A-03B98BE9B55E}" autoFormatId="16" applyNumberFormats="0" applyBorderFormats="0" applyFontFormats="0" applyPatternFormats="0" applyAlignmentFormats="0" applyWidthHeightFormats="0">
  <queryTableRefresh nextId="39" unboundColumnsRight="6">
    <queryTableFields count="36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8" dataBound="0" tableColumnId="3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586FA-9A3C-47A2-847E-97C25FAC8C51}" name="Table1" displayName="Table1" ref="A1:AD373" totalsRowShown="0">
  <autoFilter ref="A1:AD373" xr:uid="{529586FA-9A3C-47A2-847E-97C25FAC8C51}"/>
  <tableColumns count="30">
    <tableColumn id="1" xr3:uid="{F3BDD423-4B17-4372-94A0-5B1EA367B81F}" name="Sector"/>
    <tableColumn id="2" xr3:uid="{CDAAB31A-E85C-4CCB-A835-CB410DEEB73C}" name="Year"/>
    <tableColumn id="3" xr3:uid="{CB69184F-9D77-41AB-AFD0-0E556D55D73B}" name="Month"/>
    <tableColumn id="4" xr3:uid="{69D1D599-BF7F-4836-AB7F-28D92B2A7F21}" name="Cereals and products"/>
    <tableColumn id="5" xr3:uid="{FDEE5B3A-76D0-4FC5-B097-5430680165B3}" name="Meat and fish"/>
    <tableColumn id="6" xr3:uid="{BEDC8D03-61F8-4272-B33E-59B17E4C5A9F}" name="Egg"/>
    <tableColumn id="7" xr3:uid="{AD673427-3A18-4E15-AB97-CF4DCC08D25F}" name="Milk and products"/>
    <tableColumn id="8" xr3:uid="{48A01806-20B8-47B5-BEF8-1830AE058262}" name="Oils and fats"/>
    <tableColumn id="9" xr3:uid="{4ECABA3B-54A1-49F1-A965-77CE858681D7}" name="Fruits"/>
    <tableColumn id="10" xr3:uid="{A24D9094-D1A7-4321-ACEF-F2A02D3FFEA2}" name="Vegetables"/>
    <tableColumn id="11" xr3:uid="{B45FEB14-71A6-4818-A828-C1C2F76410E0}" name="Pulses and products"/>
    <tableColumn id="12" xr3:uid="{71854EC4-2BBF-4001-98AD-DF3F0EA44CDB}" name="Sugar and Confectionery"/>
    <tableColumn id="13" xr3:uid="{A5A0FE51-CCFD-4133-8BE2-DC100F4C92A5}" name="Spices"/>
    <tableColumn id="14" xr3:uid="{421248ED-F212-4C6D-B040-A5E8EB88C727}" name="Non-alcoholic beverages"/>
    <tableColumn id="15" xr3:uid="{EBEB632E-E6B1-429E-A9A3-DCFC9F69B7F2}" name="Prepared meals, snacks, sweets etc."/>
    <tableColumn id="16" xr3:uid="{FA42749D-D0F5-4D12-BA50-BDB99242FC09}" name="Food and beverages"/>
    <tableColumn id="17" xr3:uid="{BC7DEF4C-C449-4175-B3D9-8240E8C9E8C3}" name="Pan, tobacco and intoxicants"/>
    <tableColumn id="18" xr3:uid="{909EFA98-313C-49B7-BD19-95C7EDD6B8C6}" name="Clothing"/>
    <tableColumn id="19" xr3:uid="{6BDD1E17-057F-427D-AAAD-E9806B628114}" name="Footwear"/>
    <tableColumn id="20" xr3:uid="{8392C71D-6179-4386-AF3D-ADF0235C15E4}" name="Clothing and footwear"/>
    <tableColumn id="21" xr3:uid="{669950F7-6F12-4761-A108-F9B3EDBE45A5}" name="Housing"/>
    <tableColumn id="22" xr3:uid="{0EB86A89-7694-4889-A479-F07489DBE259}" name="Fuel and light"/>
    <tableColumn id="23" xr3:uid="{4054ED39-2D2D-41AC-96A6-8E035185EDA2}" name="Household goods and services"/>
    <tableColumn id="24" xr3:uid="{131A535D-FC64-4918-829A-F1582A3C9318}" name="Health"/>
    <tableColumn id="25" xr3:uid="{2B710D25-517D-4726-ADD3-47F73905E7B9}" name="Transport and communication"/>
    <tableColumn id="26" xr3:uid="{71F0E1C6-B451-4524-ACF1-4E56604A64E7}" name="Recreation and amusement"/>
    <tableColumn id="27" xr3:uid="{C4DEC3A3-1AA9-43DA-9569-0BC4A8DA64D6}" name="Education"/>
    <tableColumn id="28" xr3:uid="{0C88539F-63FD-4672-BEB4-6585D9CF7AE3}" name="Personal care and effects"/>
    <tableColumn id="29" xr3:uid="{B721CE66-779F-4335-A602-BC51A86EDD8A}" name="Miscellaneous"/>
    <tableColumn id="30" xr3:uid="{F0476487-313F-47C0-92E1-A1D899060A08}" name="General index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A47AC7-9593-44D2-A445-99AFA862F9D4}" name="Table1__2" displayName="Table1__2" ref="A1:AJ373" tableType="queryTable" totalsRowShown="0">
  <autoFilter ref="A1:AJ373" xr:uid="{E7A47AC7-9593-44D2-A445-99AFA862F9D4}"/>
  <tableColumns count="36">
    <tableColumn id="1" xr3:uid="{D9BA9E60-1697-4757-970A-1FD64FCCC279}" uniqueName="1" name="Sector" queryTableFieldId="1"/>
    <tableColumn id="2" xr3:uid="{26FC00AB-68EF-46CF-AEF8-1D21B189F8B6}" uniqueName="2" name="Year" queryTableFieldId="2"/>
    <tableColumn id="3" xr3:uid="{47B2DDF3-49B8-4B07-B055-2AF7533A7D79}" uniqueName="3" name="Month" queryTableFieldId="3"/>
    <tableColumn id="4" xr3:uid="{80292677-3B79-4595-9115-B1239093EFE9}" uniqueName="4" name="Cereals and products" queryTableFieldId="4"/>
    <tableColumn id="5" xr3:uid="{C7CEE335-41FC-40E6-A33D-6BE27C680D9C}" uniqueName="5" name="Meat and fish" queryTableFieldId="5"/>
    <tableColumn id="6" xr3:uid="{674BF7B2-4623-4B83-AFE8-696DC3F3FA46}" uniqueName="6" name="Egg" queryTableFieldId="6"/>
    <tableColumn id="7" xr3:uid="{00D33005-E116-4772-9EF9-B4EE6F934C82}" uniqueName="7" name="Milk and products" queryTableFieldId="7"/>
    <tableColumn id="8" xr3:uid="{9EF42DAB-C931-451C-8225-6A8C18430D4A}" uniqueName="8" name="Oils and fats" queryTableFieldId="8"/>
    <tableColumn id="9" xr3:uid="{6B506BF3-A8EF-4701-A479-12F30EFE3A52}" uniqueName="9" name="Fruits" queryTableFieldId="9"/>
    <tableColumn id="10" xr3:uid="{5F2DD4AE-94D8-4970-8DE9-BE0554520DE9}" uniqueName="10" name="Vegetables" queryTableFieldId="10"/>
    <tableColumn id="11" xr3:uid="{53037C58-B7BF-4406-913E-33E0A7DDB514}" uniqueName="11" name="Pulses and products" queryTableFieldId="11"/>
    <tableColumn id="12" xr3:uid="{334CC0E2-4621-4934-A7AF-1EABDA421D5B}" uniqueName="12" name="Sugar and Confectionery" queryTableFieldId="12"/>
    <tableColumn id="13" xr3:uid="{CDB0519E-1174-4A19-841E-8FD36B9D9DD9}" uniqueName="13" name="Spices" queryTableFieldId="13"/>
    <tableColumn id="14" xr3:uid="{8A52E7B3-7032-42BC-BCBC-BBB9362BE0C3}" uniqueName="14" name="Non-alcoholic beverages" queryTableFieldId="14"/>
    <tableColumn id="15" xr3:uid="{81AF5D0B-9681-4A33-AE74-1C21C143BB55}" uniqueName="15" name="Prepared meals, snacks, sweets etc." queryTableFieldId="15"/>
    <tableColumn id="16" xr3:uid="{7EDA767F-19CC-48D5-8A0C-C6B7D5AA227B}" uniqueName="16" name="Food and beverages" queryTableFieldId="16"/>
    <tableColumn id="17" xr3:uid="{26575BBF-F796-45F0-BB35-BC55C5C454BC}" uniqueName="17" name="Pan, tobacco and intoxicants" queryTableFieldId="17"/>
    <tableColumn id="18" xr3:uid="{BAD16122-22EF-4AEC-A48E-5B47B4C48FA6}" uniqueName="18" name="Clothing" queryTableFieldId="18"/>
    <tableColumn id="19" xr3:uid="{73460A1A-F082-4F7B-BB6B-D9DCE4A6BAC8}" uniqueName="19" name="Footwear" queryTableFieldId="19"/>
    <tableColumn id="20" xr3:uid="{EC54F219-CF17-4F20-81F0-765D0B876899}" uniqueName="20" name="Clothing and footwear" queryTableFieldId="20"/>
    <tableColumn id="21" xr3:uid="{F2400CED-850D-4C8E-BE8B-7BB0112787F4}" uniqueName="21" name="Housing" queryTableFieldId="21"/>
    <tableColumn id="22" xr3:uid="{EB2FA0BE-D701-4EFD-8FF7-6069F03C764B}" uniqueName="22" name="Fuel and light" queryTableFieldId="22"/>
    <tableColumn id="23" xr3:uid="{39275A82-71BE-47C1-9677-14C2CCE3F588}" uniqueName="23" name="Household goods and services" queryTableFieldId="23"/>
    <tableColumn id="24" xr3:uid="{073388FC-01D8-4783-8A53-C86A1A262243}" uniqueName="24" name="Health" queryTableFieldId="24"/>
    <tableColumn id="25" xr3:uid="{52B5ED1F-8C4A-4738-9435-156078062270}" uniqueName="25" name="Transport and communication" queryTableFieldId="25"/>
    <tableColumn id="26" xr3:uid="{08375BFA-9D20-44C2-A3BA-23434AEDB59C}" uniqueName="26" name="Recreation and amusement" queryTableFieldId="26"/>
    <tableColumn id="27" xr3:uid="{1DC2E10D-6B0A-45E7-8135-880978704A5B}" uniqueName="27" name="Education" queryTableFieldId="27"/>
    <tableColumn id="28" xr3:uid="{F346C6A4-4D01-46BE-B97A-7A81D3DEBD8E}" uniqueName="28" name="Personal care and effects" queryTableFieldId="28"/>
    <tableColumn id="29" xr3:uid="{EB15FF64-1AF2-449E-9C3A-E7ADC26154AD}" uniqueName="29" name="Miscellaneous" queryTableFieldId="29"/>
    <tableColumn id="30" xr3:uid="{4679FAC6-A922-4422-A1B6-66F93FBD73D2}" uniqueName="30" name="General index" queryTableFieldId="30"/>
    <tableColumn id="31" xr3:uid="{35BBF71F-94C9-4EEF-A9D1-2EFAF3041EA3}" uniqueName="31" name="Food" queryTableFieldId="31" dataDxfId="51">
      <calculatedColumnFormula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calculatedColumnFormula>
    </tableColumn>
    <tableColumn id="32" xr3:uid="{4A2AEC32-0D45-432E-AFA8-E52CB979C8BF}" uniqueName="32" name="Energy" queryTableFieldId="32" dataDxfId="50">
      <calculatedColumnFormula>Table1__2[[#This Row],[Fuel and light]]</calculatedColumnFormula>
    </tableColumn>
    <tableColumn id="33" xr3:uid="{6022C7D5-7C18-4A68-93C1-7F2D1562132D}" uniqueName="33" name="Transportation" queryTableFieldId="33" dataDxfId="49">
      <calculatedColumnFormula>Table1__2[[#This Row],[Transport and communication]]</calculatedColumnFormula>
    </tableColumn>
    <tableColumn id="34" xr3:uid="{759E4974-45FB-4D85-92FF-7FB29F8A007D}" uniqueName="34" name="Personal Care" queryTableFieldId="34" dataDxfId="48">
      <calculatedColumnFormula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calculatedColumnFormula>
    </tableColumn>
    <tableColumn id="35" xr3:uid="{3F1BB53B-7863-4F09-8C64-99B32B36CE70}" uniqueName="35" name="Miscellaneous2" queryTableFieldId="35" dataDxfId="47">
      <calculatedColumnFormula>Table1__2[[#This Row],[Miscellaneous]]+Table1__2[[#This Row],[Pan, tobacco and intoxicants]]</calculatedColumnFormula>
    </tableColumn>
    <tableColumn id="38" xr3:uid="{38FBB9C1-3998-4BB9-890D-44CCF57C4B96}" uniqueName="38" name="Housing2" queryTableFieldId="38" dataDxfId="46">
      <calculatedColumnFormula>Table1__2[[#This Row],[Housing]]+Table1__2[[#This Row],[Household goods and services]]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9141AB-7EC3-4892-8CE0-2DDBFC5F5F1A}" name="Table6" displayName="Table6" ref="A1:J367" totalsRowShown="0" headerRowDxfId="45">
  <autoFilter ref="A1:J367" xr:uid="{CC9141AB-7EC3-4892-8CE0-2DDBFC5F5F1A}"/>
  <tableColumns count="10">
    <tableColumn id="1" xr3:uid="{19A89839-83E7-4025-A96E-14388B93B29B}" name="Sector"/>
    <tableColumn id="2" xr3:uid="{293A1798-9752-4AA4-85BC-790F14AC2A3A}" name="Year"/>
    <tableColumn id="3" xr3:uid="{E572ECD0-07BF-4228-95EC-5D9ABFFF80E8}" name="Month"/>
    <tableColumn id="4" xr3:uid="{86103D4A-ABC3-4042-B83A-86E5B733FB5E}" name="Food"/>
    <tableColumn id="5" xr3:uid="{A48D5492-521E-4C58-AF7C-79A49F613C4C}" name="Energy"/>
    <tableColumn id="6" xr3:uid="{1D003635-35C6-4D6B-8921-ACEA6651AB9E}" name="Transportation"/>
    <tableColumn id="7" xr3:uid="{8CAA6B92-55EB-44B1-8C11-5287785F3716}" name="Personal Care" dataDxfId="44"/>
    <tableColumn id="8" xr3:uid="{737EF47C-819F-42F4-B5CB-91904F7B2DBE}" name="Miscellaneous2" dataDxfId="43"/>
    <tableColumn id="9" xr3:uid="{C5B1A58D-7A16-4C25-AFB5-CD8A5113D7B5}" name="Housing expence" dataDxfId="42">
      <calculatedColumnFormula>Table1__2[[#This Row],[Housing]]+Table1__2[[#This Row],[Household goods and services]]</calculatedColumnFormula>
    </tableColumn>
    <tableColumn id="10" xr3:uid="{549C84D7-5480-486B-A602-BB1E957B6DB5}" name="General index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1BAB4-5582-469B-94D7-B259E983B200}" name="Table4" displayName="Table4" ref="A1:J223" totalsRowShown="0" headerRowDxfId="41" dataDxfId="40" tableBorderDxfId="39">
  <autoFilter ref="A1:J223" xr:uid="{1341BAB4-5582-469B-94D7-B259E983B200}"/>
  <tableColumns count="10">
    <tableColumn id="1" xr3:uid="{E68E7626-75C5-432A-A90C-AFC6707E0F7F}" name="Sector" dataDxfId="38"/>
    <tableColumn id="2" xr3:uid="{F6D4BC4B-D8B0-4438-AC1A-83B07A9F3457}" name="Year" dataDxfId="37"/>
    <tableColumn id="3" xr3:uid="{61E90B1B-70BC-4F8A-8724-F68FBAE10A6E}" name="Month" dataDxfId="36"/>
    <tableColumn id="4" xr3:uid="{D1897B1F-8777-46ED-A44F-2376F521DF79}" name="Food" dataDxfId="35"/>
    <tableColumn id="5" xr3:uid="{705ECC6A-0436-43D3-A621-05AF893FBDC8}" name="Energy" dataDxfId="34"/>
    <tableColumn id="6" xr3:uid="{C110779F-9A04-4CCD-BD2C-A1E4E6B1DB22}" name="Transportation" dataDxfId="33"/>
    <tableColumn id="7" xr3:uid="{D95CDEBD-D6A1-4AE0-92E7-DF680C679B3B}" name="Personal Care" dataDxfId="32"/>
    <tableColumn id="8" xr3:uid="{082718DC-C34C-4D69-9650-B7008F10F442}" name="Miscellaneous2" dataDxfId="31"/>
    <tableColumn id="9" xr3:uid="{DB2F0C84-F942-4224-B641-D0B315C5025F}" name="Housing expence" dataDxfId="30"/>
    <tableColumn id="10" xr3:uid="{1115699B-6B7C-4B10-9484-EE7F23113BBE}" name="General index" dataDxfId="2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6DCF72-4045-418A-AF76-0A6B695362A4}" name="Table2" displayName="Table2" ref="A1:Q37" totalsRowShown="0">
  <autoFilter ref="A1:Q37" xr:uid="{146DCF72-4045-418A-AF76-0A6B695362A4}"/>
  <tableColumns count="17">
    <tableColumn id="1" xr3:uid="{C9BE7715-CA4A-4132-B442-728AD5440F1C}" name="Sector"/>
    <tableColumn id="2" xr3:uid="{00771DC1-188C-438F-9CAE-065AE0F2D871}" name="Year"/>
    <tableColumn id="3" xr3:uid="{AE2590C2-6AF3-432F-B632-E7F918D67C15}" name="Month"/>
    <tableColumn id="4" xr3:uid="{F86DDE77-4D8D-4CF4-8B5C-6AD006D2A229}" name="Cereals and products"/>
    <tableColumn id="5" xr3:uid="{B0B460D3-19FB-4E9C-8754-67EB1FF851BC}" name="Meat and fish"/>
    <tableColumn id="6" xr3:uid="{CE4EBEF2-A887-43CF-8DEE-F60533D12103}" name="Egg"/>
    <tableColumn id="7" xr3:uid="{5AAC4350-AFF5-4D8B-A0A3-B62EADB097B3}" name="Milk and products"/>
    <tableColumn id="8" xr3:uid="{F0D2F7F9-ADD9-43FE-8946-D909B6DE6B6C}" name="Oils and fats"/>
    <tableColumn id="9" xr3:uid="{8436B06E-341E-43CE-A188-0B89CCD0ED56}" name="Fruits"/>
    <tableColumn id="10" xr3:uid="{2746CE60-80EC-40BD-A8CD-74393A00E5FF}" name="Vegetables"/>
    <tableColumn id="11" xr3:uid="{9053FB3E-2F26-4F59-9BD0-C2DB5273AB67}" name="Pulses and products"/>
    <tableColumn id="12" xr3:uid="{04251AA8-B2E7-45F7-9610-B7E4A48871BD}" name="Sugar and Confectionery"/>
    <tableColumn id="13" xr3:uid="{513C4E5F-2F0E-4F37-9C65-A0DA0FF8D028}" name="Spices"/>
    <tableColumn id="14" xr3:uid="{42A3FC45-39BD-4A26-AE9E-C42A4640D61F}" name="Non-alcoholic beverages"/>
    <tableColumn id="15" xr3:uid="{6964681C-1738-486B-9114-EADD3A1DB101}" name="Prepared meals, snacks, sweets etc."/>
    <tableColumn id="16" xr3:uid="{E8F21178-288C-43C4-9CA7-941205A4478C}" name="Food and beverages"/>
    <tableColumn id="17" xr3:uid="{A7D414A6-0E2C-4DA7-8D4C-8E5F8FDBF9E8}" name="Food" dataDxfId="28">
      <calculatedColumnFormula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57E61F9-06A4-49C5-B9BC-73CE3212B457}" name="Table12" displayName="Table12" ref="A1:H37" totalsRowShown="0" headerRowDxfId="27" dataDxfId="26" tableBorderDxfId="25">
  <autoFilter ref="A1:H37" xr:uid="{957E61F9-06A4-49C5-B9BC-73CE3212B457}"/>
  <tableColumns count="8">
    <tableColumn id="1" xr3:uid="{9FA61234-A6E9-49F3-9B58-9BAEAA16628B}" name="Sector" dataDxfId="24"/>
    <tableColumn id="2" xr3:uid="{D7816826-8C59-4274-B9E2-EB2974225949}" name="Year" dataDxfId="23"/>
    <tableColumn id="3" xr3:uid="{6E883F39-DA82-4922-9D2A-97234FB29587}" name="Month" dataDxfId="22"/>
    <tableColumn id="4" xr3:uid="{334CAF8D-ADCB-45CD-A160-CACC245AC904}" name="Food" dataDxfId="21"/>
    <tableColumn id="5" xr3:uid="{74A41E97-F929-44A2-ADC8-92F4B76D6153}" name="Fuel &amp; Energy" dataDxfId="20"/>
    <tableColumn id="6" xr3:uid="{0A15A056-11FB-4AA0-838E-AD476A55DF2E}" name="Health" dataDxfId="19"/>
    <tableColumn id="7" xr3:uid="{8867B552-05A1-4043-B282-F71783428ED3}" name="Housing" dataDxfId="18"/>
    <tableColumn id="8" xr3:uid="{F6B276B1-305B-46B8-8F5F-4585058609D2}" name="General index" dataDxfId="1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A20E7F-FBA0-4465-91A0-F2DABA9E4B73}" name="Table5" displayName="Table5" ref="A1:I30" totalsRowShown="0">
  <autoFilter ref="A1:I30" xr:uid="{DAA20E7F-FBA0-4465-91A0-F2DABA9E4B73}"/>
  <tableColumns count="9">
    <tableColumn id="1" xr3:uid="{1D1CE2A3-13DD-4F87-A7DA-973E631668FA}" name="Month"/>
    <tableColumn id="2" xr3:uid="{C69B0A81-DB3B-426E-B6B1-C6EF7C38FBEE}" name="Year"/>
    <tableColumn id="3" xr3:uid="{0D7CFD88-2FD3-4E32-AD13-5DD5C3F9A591}" name="Price"/>
    <tableColumn id="4" xr3:uid="{A1A028BD-C661-4E27-8FEB-9334F696EE66}" name="Open"/>
    <tableColumn id="5" xr3:uid="{7F3825A6-1567-41E1-811A-6FA54EE5FD54}" name="High"/>
    <tableColumn id="6" xr3:uid="{D127F13A-0B8E-498E-909E-D3840B7EE053}" name="Low"/>
    <tableColumn id="7" xr3:uid="{A9E815D9-7703-418A-B5BA-CB3DDEE71F5F}" name="Vol."/>
    <tableColumn id="8" xr3:uid="{7194AB45-3966-498E-9B07-E4AF43185023}" name="Change %" dataDxfId="16"/>
    <tableColumn id="9" xr3:uid="{8AE87181-ED44-4C3F-984B-B30E11BC66E6}" name="Inflation" dataDxfId="15">
      <calculatedColumnFormula>(C1-C2)/C1*100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7D32BB-3B61-4B7E-BA7F-B73E80557E26}" name="Table9" displayName="Table9" ref="A1:L30" totalsRowShown="0">
  <autoFilter ref="A1:L30" xr:uid="{F57D32BB-3B61-4B7E-BA7F-B73E80557E26}"/>
  <tableColumns count="12">
    <tableColumn id="1" xr3:uid="{8E013A05-074B-4532-8719-C2271E9879E6}" name="Month"/>
    <tableColumn id="2" xr3:uid="{D040BF38-A19E-4E4A-9876-0985373996E0}" name="Year"/>
    <tableColumn id="3" xr3:uid="{EB2243BD-13E4-4225-9AC0-DC98AD58D936}" name="Fuel Price" dataDxfId="14"/>
    <tableColumn id="4" xr3:uid="{8F30CC3A-A9AF-4709-8DA0-45CE44E25E87}" name="Inflation" dataDxfId="13">
      <calculatedColumnFormula>(C2-C1)/C1*100</calculatedColumnFormula>
    </tableColumn>
    <tableColumn id="5" xr3:uid="{206F0460-5A40-4A07-8B49-F35A438A5E99}" name="Transportation Price" dataDxfId="12"/>
    <tableColumn id="6" xr3:uid="{2B65A4AC-C5C5-4564-810D-21EE6E339685}" name="Trans_Inflation" dataDxfId="11">
      <calculatedColumnFormula>(E2-E1)/E1*100</calculatedColumnFormula>
    </tableColumn>
    <tableColumn id="7" xr3:uid="{AB55ABEC-15D3-4FC1-85A2-E2AA5C31453F}" name="General index" dataDxfId="10"/>
    <tableColumn id="8" xr3:uid="{5AA6876A-7805-41A1-9BBA-7C6D38C908CA}" name="Crude Price"/>
    <tableColumn id="9" xr3:uid="{9CE0231D-4B58-4F80-8F0F-1E996C581ADA}" name="Gen &amp;crude" dataDxfId="9">
      <calculatedColumnFormula>CORREL(H:H,G:G)</calculatedColumnFormula>
    </tableColumn>
    <tableColumn id="10" xr3:uid="{4FF6B9AA-A811-4B2F-9EA7-F0A0D04429D1}" name="Fuel &amp; Crude" dataDxfId="8">
      <calculatedColumnFormula>CORREL(C:C,H:H)</calculatedColumnFormula>
    </tableColumn>
    <tableColumn id="11" xr3:uid="{DED90866-C2C6-45F0-B81C-356E8A6B15A9}" name="Trans &amp; crude" dataDxfId="7">
      <calculatedColumnFormula>CORREL(E:E,H:H)</calculatedColumnFormula>
    </tableColumn>
    <tableColumn id="12" xr3:uid="{41DE57C1-9732-4C6B-B55C-17C7560D192C}" name="Crude Inflation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DD66-EFDC-4053-8EF2-98BA9FD65329}">
  <dimension ref="A1:AD373"/>
  <sheetViews>
    <sheetView topLeftCell="A283" zoomScale="70" zoomScaleNormal="70" workbookViewId="0">
      <selection activeCell="U2" sqref="U2"/>
    </sheetView>
  </sheetViews>
  <sheetFormatPr defaultRowHeight="14.4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85A5-582D-4B6E-A0E6-B5D7E925AA37}">
  <dimension ref="A1:AJ373"/>
  <sheetViews>
    <sheetView topLeftCell="J343" zoomScale="70" zoomScaleNormal="70" workbookViewId="0">
      <selection activeCell="U371" sqref="U371"/>
    </sheetView>
  </sheetViews>
  <sheetFormatPr defaultRowHeight="14.4"/>
  <cols>
    <col min="1" max="1" width="11.109375" bestFit="1" customWidth="1"/>
    <col min="2" max="2" width="6.88671875" bestFit="1" customWidth="1"/>
    <col min="3" max="3" width="9.77734375" bestFit="1" customWidth="1"/>
    <col min="4" max="4" width="21" bestFit="1" customWidth="1"/>
    <col min="5" max="5" width="14.109375" bestFit="1" customWidth="1"/>
    <col min="6" max="6" width="6" bestFit="1" customWidth="1"/>
    <col min="7" max="7" width="18.109375" bestFit="1" customWidth="1"/>
    <col min="8" max="8" width="13.44140625" bestFit="1" customWidth="1"/>
    <col min="9" max="9" width="8" bestFit="1" customWidth="1"/>
    <col min="10" max="10" width="12.44140625" bestFit="1" customWidth="1"/>
    <col min="11" max="11" width="20.109375" bestFit="1" customWidth="1"/>
    <col min="12" max="12" width="23.5546875" bestFit="1" customWidth="1"/>
    <col min="14" max="14" width="24" bestFit="1" customWidth="1"/>
    <col min="15" max="15" width="33.77734375" bestFit="1" customWidth="1"/>
    <col min="16" max="16" width="19.77734375" bestFit="1" customWidth="1"/>
    <col min="17" max="17" width="27.33203125" bestFit="1" customWidth="1"/>
    <col min="18" max="18" width="10.109375" bestFit="1" customWidth="1"/>
    <col min="19" max="19" width="10.88671875" bestFit="1" customWidth="1"/>
    <col min="20" max="20" width="21.33203125" bestFit="1" customWidth="1"/>
    <col min="21" max="21" width="9.88671875" bestFit="1" customWidth="1"/>
    <col min="22" max="22" width="14.21875" bestFit="1" customWidth="1"/>
    <col min="23" max="23" width="28.44140625" bestFit="1" customWidth="1"/>
    <col min="24" max="24" width="8.77734375" bestFit="1" customWidth="1"/>
    <col min="25" max="25" width="28.44140625" bestFit="1" customWidth="1"/>
    <col min="26" max="26" width="26.21875" bestFit="1" customWidth="1"/>
    <col min="27" max="27" width="11.5546875" bestFit="1" customWidth="1"/>
    <col min="28" max="28" width="24.21875" bestFit="1" customWidth="1"/>
    <col min="29" max="29" width="15.109375" bestFit="1" customWidth="1"/>
    <col min="30" max="30" width="14.6640625" bestFit="1" customWidth="1"/>
    <col min="31" max="31" width="8" bestFit="1" customWidth="1"/>
    <col min="32" max="32" width="8.6640625" bestFit="1" customWidth="1"/>
    <col min="33" max="33" width="15.44140625" bestFit="1" customWidth="1"/>
    <col min="34" max="34" width="14.6640625" bestFit="1" customWidth="1"/>
    <col min="35" max="35" width="16.21875" bestFit="1" customWidth="1"/>
    <col min="36" max="36" width="10.8867187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49</v>
      </c>
      <c r="AF1" t="s">
        <v>51</v>
      </c>
      <c r="AG1" t="s">
        <v>50</v>
      </c>
      <c r="AH1" t="s">
        <v>52</v>
      </c>
      <c r="AI1" t="s">
        <v>53</v>
      </c>
      <c r="AJ1" t="s">
        <v>54</v>
      </c>
    </row>
    <row r="2" spans="1:36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s="62">
        <v>139.26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1371.6999999999998</v>
      </c>
      <c r="AF2">
        <f>Table1__2[[#This Row],[Fuel and light]]</f>
        <v>105.5</v>
      </c>
      <c r="AG2">
        <f>Table1__2[[#This Row],[Transport and communication]]</f>
        <v>103.3</v>
      </c>
      <c r="AH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734.59999999999991</v>
      </c>
      <c r="AI2">
        <f>Table1__2[[#This Row],[Miscellaneous]]+Table1__2[[#This Row],[Pan, tobacco and intoxicants]]</f>
        <v>209.1</v>
      </c>
      <c r="AJ2" s="1">
        <f>Table1__2[[#This Row],[Housing]]+Table1__2[[#This Row],[Household goods and services]]</f>
        <v>244.06</v>
      </c>
    </row>
    <row r="3" spans="1:36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1376.4</v>
      </c>
      <c r="AF3">
        <f>Table1__2[[#This Row],[Fuel and light]]</f>
        <v>105.4</v>
      </c>
      <c r="AG3">
        <f>Table1__2[[#This Row],[Transport and communication]]</f>
        <v>103.2</v>
      </c>
      <c r="AH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731.5</v>
      </c>
      <c r="AI3">
        <f>Table1__2[[#This Row],[Miscellaneous]]+Table1__2[[#This Row],[Pan, tobacco and intoxicants]]</f>
        <v>208.9</v>
      </c>
      <c r="AJ3" s="1">
        <f>Table1__2[[#This Row],[Housing]]+Table1__2[[#This Row],[Household goods and services]]</f>
        <v>205.1</v>
      </c>
    </row>
    <row r="4" spans="1:36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1373.3000000000002</v>
      </c>
      <c r="AF4">
        <f>Table1__2[[#This Row],[Fuel and light]]</f>
        <v>105.5</v>
      </c>
      <c r="AG4">
        <f>Table1__2[[#This Row],[Transport and communication]]</f>
        <v>103.2</v>
      </c>
      <c r="AH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733.2</v>
      </c>
      <c r="AI4">
        <f>Table1__2[[#This Row],[Miscellaneous]]+Table1__2[[#This Row],[Pan, tobacco and intoxicants]]</f>
        <v>209</v>
      </c>
      <c r="AJ4" s="1">
        <f>Table1__2[[#This Row],[Housing]]+Table1__2[[#This Row],[Household goods and services]]</f>
        <v>205.1</v>
      </c>
    </row>
    <row r="5" spans="1:36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s="62">
        <v>139.26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1380.3999999999999</v>
      </c>
      <c r="AF5">
        <f>Table1__2[[#This Row],[Fuel and light]]</f>
        <v>106.2</v>
      </c>
      <c r="AG5">
        <f>Table1__2[[#This Row],[Transport and communication]]</f>
        <v>103.9</v>
      </c>
      <c r="AH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737.5</v>
      </c>
      <c r="AI5">
        <f>Table1__2[[#This Row],[Miscellaneous]]+Table1__2[[#This Row],[Pan, tobacco and intoxicants]]</f>
        <v>210</v>
      </c>
      <c r="AJ5" s="1">
        <f>Table1__2[[#This Row],[Housing]]+Table1__2[[#This Row],[Household goods and services]]</f>
        <v>244.45999999999998</v>
      </c>
    </row>
    <row r="6" spans="1:36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1390.6000000000001</v>
      </c>
      <c r="AF6">
        <f>Table1__2[[#This Row],[Fuel and light]]</f>
        <v>105.7</v>
      </c>
      <c r="AG6">
        <f>Table1__2[[#This Row],[Transport and communication]]</f>
        <v>104.4</v>
      </c>
      <c r="AH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734.5</v>
      </c>
      <c r="AI6">
        <f>Table1__2[[#This Row],[Miscellaneous]]+Table1__2[[#This Row],[Pan, tobacco and intoxicants]]</f>
        <v>210.3</v>
      </c>
      <c r="AJ6" s="1">
        <f>Table1__2[[#This Row],[Housing]]+Table1__2[[#This Row],[Household goods and services]]</f>
        <v>205.60000000000002</v>
      </c>
    </row>
    <row r="7" spans="1:36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1384.2</v>
      </c>
      <c r="AF7">
        <f>Table1__2[[#This Row],[Fuel and light]]</f>
        <v>106</v>
      </c>
      <c r="AG7">
        <f>Table1__2[[#This Row],[Transport and communication]]</f>
        <v>104.2</v>
      </c>
      <c r="AH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736.19999999999993</v>
      </c>
      <c r="AI7">
        <f>Table1__2[[#This Row],[Miscellaneous]]+Table1__2[[#This Row],[Pan, tobacco and intoxicants]]</f>
        <v>210.10000000000002</v>
      </c>
      <c r="AJ7" s="1">
        <f>Table1__2[[#This Row],[Housing]]+Table1__2[[#This Row],[Household goods and services]]</f>
        <v>205.60000000000002</v>
      </c>
    </row>
    <row r="8" spans="1:36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s="62">
        <v>139.26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1382.2</v>
      </c>
      <c r="AF8">
        <f>Table1__2[[#This Row],[Fuel and light]]</f>
        <v>106.1</v>
      </c>
      <c r="AG8">
        <f>Table1__2[[#This Row],[Transport and communication]]</f>
        <v>104.6</v>
      </c>
      <c r="AH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739.19999999999993</v>
      </c>
      <c r="AI8">
        <f>Table1__2[[#This Row],[Miscellaneous]]+Table1__2[[#This Row],[Pan, tobacco and intoxicants]]</f>
        <v>211.1</v>
      </c>
      <c r="AJ8" s="1">
        <f>Table1__2[[#This Row],[Housing]]+Table1__2[[#This Row],[Household goods and services]]</f>
        <v>244.85999999999999</v>
      </c>
    </row>
    <row r="9" spans="1:36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1386.8</v>
      </c>
      <c r="AF9">
        <f>Table1__2[[#This Row],[Fuel and light]]</f>
        <v>106</v>
      </c>
      <c r="AG9">
        <f>Table1__2[[#This Row],[Transport and communication]]</f>
        <v>105.5</v>
      </c>
      <c r="AH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736.9</v>
      </c>
      <c r="AI9">
        <f>Table1__2[[#This Row],[Miscellaneous]]+Table1__2[[#This Row],[Pan, tobacco and intoxicants]]</f>
        <v>211.7</v>
      </c>
      <c r="AJ9" s="1">
        <f>Table1__2[[#This Row],[Housing]]+Table1__2[[#This Row],[Household goods and services]]</f>
        <v>206.10000000000002</v>
      </c>
    </row>
    <row r="10" spans="1:36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1384.0000000000002</v>
      </c>
      <c r="AF10">
        <f>Table1__2[[#This Row],[Fuel and light]]</f>
        <v>106.1</v>
      </c>
      <c r="AG10">
        <f>Table1__2[[#This Row],[Transport and communication]]</f>
        <v>105.1</v>
      </c>
      <c r="AH1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738.1</v>
      </c>
      <c r="AI10">
        <f>Table1__2[[#This Row],[Miscellaneous]]+Table1__2[[#This Row],[Pan, tobacco and intoxicants]]</f>
        <v>211.3</v>
      </c>
      <c r="AJ10" s="1">
        <f>Table1__2[[#This Row],[Housing]]+Table1__2[[#This Row],[Household goods and services]]</f>
        <v>206</v>
      </c>
    </row>
    <row r="11" spans="1:36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s="62">
        <v>139.26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1385.8</v>
      </c>
      <c r="AF11">
        <f>Table1__2[[#This Row],[Fuel and light]]</f>
        <v>106.5</v>
      </c>
      <c r="AG11">
        <f>Table1__2[[#This Row],[Transport and communication]]</f>
        <v>104.4</v>
      </c>
      <c r="AH1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740.59999999999991</v>
      </c>
      <c r="AI11">
        <f>Table1__2[[#This Row],[Miscellaneous]]+Table1__2[[#This Row],[Pan, tobacco and intoxicants]]</f>
        <v>211.7</v>
      </c>
      <c r="AJ11" s="1">
        <f>Table1__2[[#This Row],[Housing]]+Table1__2[[#This Row],[Household goods and services]]</f>
        <v>245.35999999999999</v>
      </c>
    </row>
    <row r="12" spans="1:36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1397.6999999999998</v>
      </c>
      <c r="AF12">
        <f>Table1__2[[#This Row],[Fuel and light]]</f>
        <v>106.4</v>
      </c>
      <c r="AG12">
        <f>Table1__2[[#This Row],[Transport and communication]]</f>
        <v>105</v>
      </c>
      <c r="AH1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740.1</v>
      </c>
      <c r="AI12">
        <f>Table1__2[[#This Row],[Miscellaneous]]+Table1__2[[#This Row],[Pan, tobacco and intoxicants]]</f>
        <v>213.6</v>
      </c>
      <c r="AJ12" s="1">
        <f>Table1__2[[#This Row],[Housing]]+Table1__2[[#This Row],[Household goods and services]]</f>
        <v>207</v>
      </c>
    </row>
    <row r="13" spans="1:36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1390.2</v>
      </c>
      <c r="AF13">
        <f>Table1__2[[#This Row],[Fuel and light]]</f>
        <v>106.5</v>
      </c>
      <c r="AG13">
        <f>Table1__2[[#This Row],[Transport and communication]]</f>
        <v>104.7</v>
      </c>
      <c r="AH1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740.3</v>
      </c>
      <c r="AI13">
        <f>Table1__2[[#This Row],[Miscellaneous]]+Table1__2[[#This Row],[Pan, tobacco and intoxicants]]</f>
        <v>212.3</v>
      </c>
      <c r="AJ13" s="1">
        <f>Table1__2[[#This Row],[Housing]]+Table1__2[[#This Row],[Household goods and services]]</f>
        <v>206.8</v>
      </c>
    </row>
    <row r="14" spans="1:36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s="62">
        <v>139.26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1394</v>
      </c>
      <c r="AF14">
        <f>Table1__2[[#This Row],[Fuel and light]]</f>
        <v>107.5</v>
      </c>
      <c r="AG14">
        <f>Table1__2[[#This Row],[Transport and communication]]</f>
        <v>104.1</v>
      </c>
      <c r="AH1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743.59999999999991</v>
      </c>
      <c r="AI14">
        <f>Table1__2[[#This Row],[Miscellaneous]]+Table1__2[[#This Row],[Pan, tobacco and intoxicants]]</f>
        <v>212.89999999999998</v>
      </c>
      <c r="AJ14" s="1">
        <f>Table1__2[[#This Row],[Housing]]+Table1__2[[#This Row],[Household goods and services]]</f>
        <v>246.06</v>
      </c>
    </row>
    <row r="15" spans="1:36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1417.1999999999998</v>
      </c>
      <c r="AF15">
        <f>Table1__2[[#This Row],[Fuel and light]]</f>
        <v>107.2</v>
      </c>
      <c r="AG15">
        <f>Table1__2[[#This Row],[Transport and communication]]</f>
        <v>103.9</v>
      </c>
      <c r="AH1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742.60000000000014</v>
      </c>
      <c r="AI15">
        <f>Table1__2[[#This Row],[Miscellaneous]]+Table1__2[[#This Row],[Pan, tobacco and intoxicants]]</f>
        <v>214.7</v>
      </c>
      <c r="AJ15" s="1">
        <f>Table1__2[[#This Row],[Housing]]+Table1__2[[#This Row],[Household goods and services]]</f>
        <v>207.6</v>
      </c>
    </row>
    <row r="16" spans="1:36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1402.1999999999998</v>
      </c>
      <c r="AF16">
        <f>Table1__2[[#This Row],[Fuel and light]]</f>
        <v>107.4</v>
      </c>
      <c r="AG16">
        <f>Table1__2[[#This Row],[Transport and communication]]</f>
        <v>104</v>
      </c>
      <c r="AH1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743.2</v>
      </c>
      <c r="AI16">
        <f>Table1__2[[#This Row],[Miscellaneous]]+Table1__2[[#This Row],[Pan, tobacco and intoxicants]]</f>
        <v>213.39999999999998</v>
      </c>
      <c r="AJ16" s="1">
        <f>Table1__2[[#This Row],[Housing]]+Table1__2[[#This Row],[Household goods and services]]</f>
        <v>207.4</v>
      </c>
    </row>
    <row r="17" spans="1:36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s="62">
        <v>139.26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1420</v>
      </c>
      <c r="AF17">
        <f>Table1__2[[#This Row],[Fuel and light]]</f>
        <v>108.5</v>
      </c>
      <c r="AG17">
        <f>Table1__2[[#This Row],[Transport and communication]]</f>
        <v>105</v>
      </c>
      <c r="AH1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748.9</v>
      </c>
      <c r="AI17">
        <f>Table1__2[[#This Row],[Miscellaneous]]+Table1__2[[#This Row],[Pan, tobacco and intoxicants]]</f>
        <v>214.5</v>
      </c>
      <c r="AJ17" s="1">
        <f>Table1__2[[#This Row],[Housing]]+Table1__2[[#This Row],[Household goods and services]]</f>
        <v>246.76</v>
      </c>
    </row>
    <row r="18" spans="1:36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1464.6000000000001</v>
      </c>
      <c r="AF18">
        <f>Table1__2[[#This Row],[Fuel and light]]</f>
        <v>108</v>
      </c>
      <c r="AG18">
        <f>Table1__2[[#This Row],[Transport and communication]]</f>
        <v>105.2</v>
      </c>
      <c r="AH1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748.40000000000009</v>
      </c>
      <c r="AI18">
        <f>Table1__2[[#This Row],[Miscellaneous]]+Table1__2[[#This Row],[Pan, tobacco and intoxicants]]</f>
        <v>217</v>
      </c>
      <c r="AJ18" s="1">
        <f>Table1__2[[#This Row],[Housing]]+Table1__2[[#This Row],[Household goods and services]]</f>
        <v>214.3</v>
      </c>
    </row>
    <row r="19" spans="1:36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1436</v>
      </c>
      <c r="AF19">
        <f>Table1__2[[#This Row],[Fuel and light]]</f>
        <v>108.3</v>
      </c>
      <c r="AG19">
        <f>Table1__2[[#This Row],[Transport and communication]]</f>
        <v>105.1</v>
      </c>
      <c r="AH1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748.9</v>
      </c>
      <c r="AI19">
        <f>Table1__2[[#This Row],[Miscellaneous]]+Table1__2[[#This Row],[Pan, tobacco and intoxicants]]</f>
        <v>215.3</v>
      </c>
      <c r="AJ19" s="1">
        <f>Table1__2[[#This Row],[Housing]]+Table1__2[[#This Row],[Household goods and services]]</f>
        <v>214.2</v>
      </c>
    </row>
    <row r="20" spans="1:36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s="62">
        <v>139.26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1445.8999999999996</v>
      </c>
      <c r="AF20">
        <f>Table1__2[[#This Row],[Fuel and light]]</f>
        <v>109.5</v>
      </c>
      <c r="AG20">
        <f>Table1__2[[#This Row],[Transport and communication]]</f>
        <v>106.8</v>
      </c>
      <c r="AH2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753.9</v>
      </c>
      <c r="AI20">
        <f>Table1__2[[#This Row],[Miscellaneous]]+Table1__2[[#This Row],[Pan, tobacco and intoxicants]]</f>
        <v>216.3</v>
      </c>
      <c r="AJ20" s="1">
        <f>Table1__2[[#This Row],[Housing]]+Table1__2[[#This Row],[Household goods and services]]</f>
        <v>247.56</v>
      </c>
    </row>
    <row r="21" spans="1:36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1489.4</v>
      </c>
      <c r="AF21">
        <f>Table1__2[[#This Row],[Fuel and light]]</f>
        <v>108.6</v>
      </c>
      <c r="AG21">
        <f>Table1__2[[#This Row],[Transport and communication]]</f>
        <v>107.3</v>
      </c>
      <c r="AH2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753.4</v>
      </c>
      <c r="AI21">
        <f>Table1__2[[#This Row],[Miscellaneous]]+Table1__2[[#This Row],[Pan, tobacco and intoxicants]]</f>
        <v>219</v>
      </c>
      <c r="AJ21" s="1">
        <f>Table1__2[[#This Row],[Housing]]+Table1__2[[#This Row],[Household goods and services]]</f>
        <v>215.8</v>
      </c>
    </row>
    <row r="22" spans="1:36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1461.3999999999999</v>
      </c>
      <c r="AF22">
        <f>Table1__2[[#This Row],[Fuel and light]]</f>
        <v>109.2</v>
      </c>
      <c r="AG22">
        <f>Table1__2[[#This Row],[Transport and communication]]</f>
        <v>107.1</v>
      </c>
      <c r="AH2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754</v>
      </c>
      <c r="AI22">
        <f>Table1__2[[#This Row],[Miscellaneous]]+Table1__2[[#This Row],[Pan, tobacco and intoxicants]]</f>
        <v>217.2</v>
      </c>
      <c r="AJ22" s="1">
        <f>Table1__2[[#This Row],[Housing]]+Table1__2[[#This Row],[Household goods and services]]</f>
        <v>215.9</v>
      </c>
    </row>
    <row r="23" spans="1:36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s="62">
        <v>139.26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1462.5</v>
      </c>
      <c r="AF23">
        <f>Table1__2[[#This Row],[Fuel and light]]</f>
        <v>109.9</v>
      </c>
      <c r="AG23">
        <f>Table1__2[[#This Row],[Transport and communication]]</f>
        <v>107.8</v>
      </c>
      <c r="AH2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760.6</v>
      </c>
      <c r="AI23">
        <f>Table1__2[[#This Row],[Miscellaneous]]+Table1__2[[#This Row],[Pan, tobacco and intoxicants]]</f>
        <v>218.2</v>
      </c>
      <c r="AJ23" s="1">
        <f>Table1__2[[#This Row],[Housing]]+Table1__2[[#This Row],[Household goods and services]]</f>
        <v>247.95999999999998</v>
      </c>
    </row>
    <row r="24" spans="1:36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1506.1000000000001</v>
      </c>
      <c r="AF24">
        <f>Table1__2[[#This Row],[Fuel and light]]</f>
        <v>109.3</v>
      </c>
      <c r="AG24">
        <f>Table1__2[[#This Row],[Transport and communication]]</f>
        <v>108.1</v>
      </c>
      <c r="AH2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759.99999999999989</v>
      </c>
      <c r="AI24">
        <f>Table1__2[[#This Row],[Miscellaneous]]+Table1__2[[#This Row],[Pan, tobacco and intoxicants]]</f>
        <v>220.7</v>
      </c>
      <c r="AJ24" s="1">
        <f>Table1__2[[#This Row],[Housing]]+Table1__2[[#This Row],[Household goods and services]]</f>
        <v>217.60000000000002</v>
      </c>
    </row>
    <row r="25" spans="1:36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1477.4</v>
      </c>
      <c r="AF25">
        <f>Table1__2[[#This Row],[Fuel and light]]</f>
        <v>109.7</v>
      </c>
      <c r="AG25">
        <f>Table1__2[[#This Row],[Transport and communication]]</f>
        <v>108</v>
      </c>
      <c r="AH2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760.5</v>
      </c>
      <c r="AI25">
        <f>Table1__2[[#This Row],[Miscellaneous]]+Table1__2[[#This Row],[Pan, tobacco and intoxicants]]</f>
        <v>219.10000000000002</v>
      </c>
      <c r="AJ25" s="1">
        <f>Table1__2[[#This Row],[Housing]]+Table1__2[[#This Row],[Household goods and services]]</f>
        <v>217.60000000000002</v>
      </c>
    </row>
    <row r="26" spans="1:36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s="62">
        <v>139.26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1488.5000000000002</v>
      </c>
      <c r="AF26">
        <f>Table1__2[[#This Row],[Fuel and light]]</f>
        <v>111.1</v>
      </c>
      <c r="AG26">
        <f>Table1__2[[#This Row],[Transport and communication]]</f>
        <v>109.3</v>
      </c>
      <c r="AH2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769.09999999999991</v>
      </c>
      <c r="AI26">
        <f>Table1__2[[#This Row],[Miscellaneous]]+Table1__2[[#This Row],[Pan, tobacco and intoxicants]]</f>
        <v>220.4</v>
      </c>
      <c r="AJ26" s="1">
        <f>Table1__2[[#This Row],[Housing]]+Table1__2[[#This Row],[Household goods and services]]</f>
        <v>248.85999999999999</v>
      </c>
    </row>
    <row r="27" spans="1:36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1500.4</v>
      </c>
      <c r="AF27">
        <f>Table1__2[[#This Row],[Fuel and light]]</f>
        <v>109.5</v>
      </c>
      <c r="AG27">
        <f>Table1__2[[#This Row],[Transport and communication]]</f>
        <v>110.4</v>
      </c>
      <c r="AH2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764.9</v>
      </c>
      <c r="AI27">
        <f>Table1__2[[#This Row],[Miscellaneous]]+Table1__2[[#This Row],[Pan, tobacco and intoxicants]]</f>
        <v>222.3</v>
      </c>
      <c r="AJ27" s="1">
        <f>Table1__2[[#This Row],[Housing]]+Table1__2[[#This Row],[Household goods and services]]</f>
        <v>219.3</v>
      </c>
    </row>
    <row r="28" spans="1:36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1491.6999999999998</v>
      </c>
      <c r="AF28">
        <f>Table1__2[[#This Row],[Fuel and light]]</f>
        <v>110.5</v>
      </c>
      <c r="AG28">
        <f>Table1__2[[#This Row],[Transport and communication]]</f>
        <v>109.9</v>
      </c>
      <c r="AH2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767.50000000000011</v>
      </c>
      <c r="AI28">
        <f>Table1__2[[#This Row],[Miscellaneous]]+Table1__2[[#This Row],[Pan, tobacco and intoxicants]]</f>
        <v>221</v>
      </c>
      <c r="AJ28" s="1">
        <f>Table1__2[[#This Row],[Housing]]+Table1__2[[#This Row],[Household goods and services]]</f>
        <v>219.3</v>
      </c>
    </row>
    <row r="29" spans="1:36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s="62">
        <v>139.26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1508</v>
      </c>
      <c r="AF29">
        <f>Table1__2[[#This Row],[Fuel and light]]</f>
        <v>111.6</v>
      </c>
      <c r="AG29">
        <f>Table1__2[[#This Row],[Transport and communication]]</f>
        <v>109.3</v>
      </c>
      <c r="AH2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774.2</v>
      </c>
      <c r="AI29">
        <f>Table1__2[[#This Row],[Miscellaneous]]+Table1__2[[#This Row],[Pan, tobacco and intoxicants]]</f>
        <v>221.3</v>
      </c>
      <c r="AJ29" s="1">
        <f>Table1__2[[#This Row],[Housing]]+Table1__2[[#This Row],[Household goods and services]]</f>
        <v>249.66</v>
      </c>
    </row>
    <row r="30" spans="1:36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1517.1999999999998</v>
      </c>
      <c r="AF30">
        <f>Table1__2[[#This Row],[Fuel and light]]</f>
        <v>109.7</v>
      </c>
      <c r="AG30">
        <f>Table1__2[[#This Row],[Transport and communication]]</f>
        <v>109.7</v>
      </c>
      <c r="AH3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769</v>
      </c>
      <c r="AI30">
        <f>Table1__2[[#This Row],[Miscellaneous]]+Table1__2[[#This Row],[Pan, tobacco and intoxicants]]</f>
        <v>222.9</v>
      </c>
      <c r="AJ30" s="1">
        <f>Table1__2[[#This Row],[Housing]]+Table1__2[[#This Row],[Household goods and services]]</f>
        <v>220.7</v>
      </c>
    </row>
    <row r="31" spans="1:36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1510.2000000000003</v>
      </c>
      <c r="AF31">
        <f>Table1__2[[#This Row],[Fuel and light]]</f>
        <v>110.9</v>
      </c>
      <c r="AG31">
        <f>Table1__2[[#This Row],[Transport and communication]]</f>
        <v>109.5</v>
      </c>
      <c r="AH3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772.1</v>
      </c>
      <c r="AI31">
        <f>Table1__2[[#This Row],[Miscellaneous]]+Table1__2[[#This Row],[Pan, tobacco and intoxicants]]</f>
        <v>221.7</v>
      </c>
      <c r="AJ31" s="1">
        <f>Table1__2[[#This Row],[Housing]]+Table1__2[[#This Row],[Household goods and services]]</f>
        <v>220.8</v>
      </c>
    </row>
    <row r="32" spans="1:36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s="62">
        <v>139.26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1536.8</v>
      </c>
      <c r="AF32">
        <f>Table1__2[[#This Row],[Fuel and light]]</f>
        <v>112.6</v>
      </c>
      <c r="AG32">
        <f>Table1__2[[#This Row],[Transport and communication]]</f>
        <v>109.6</v>
      </c>
      <c r="AH3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779.7</v>
      </c>
      <c r="AI32">
        <f>Table1__2[[#This Row],[Miscellaneous]]+Table1__2[[#This Row],[Pan, tobacco and intoxicants]]</f>
        <v>222.6</v>
      </c>
      <c r="AJ32" s="1">
        <f>Table1__2[[#This Row],[Housing]]+Table1__2[[#This Row],[Household goods and services]]</f>
        <v>250.56</v>
      </c>
    </row>
    <row r="33" spans="1:36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1544.6</v>
      </c>
      <c r="AF33">
        <f>Table1__2[[#This Row],[Fuel and light]]</f>
        <v>110</v>
      </c>
      <c r="AG33">
        <f>Table1__2[[#This Row],[Transport and communication]]</f>
        <v>109.5</v>
      </c>
      <c r="AH3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773.09999999999991</v>
      </c>
      <c r="AI33">
        <f>Table1__2[[#This Row],[Miscellaneous]]+Table1__2[[#This Row],[Pan, tobacco and intoxicants]]</f>
        <v>223.7</v>
      </c>
      <c r="AJ33" s="1">
        <f>Table1__2[[#This Row],[Housing]]+Table1__2[[#This Row],[Household goods and services]]</f>
        <v>222</v>
      </c>
    </row>
    <row r="34" spans="1:36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1538.8</v>
      </c>
      <c r="AF34">
        <f>Table1__2[[#This Row],[Fuel and light]]</f>
        <v>111.6</v>
      </c>
      <c r="AG34">
        <f>Table1__2[[#This Row],[Transport and communication]]</f>
        <v>109.5</v>
      </c>
      <c r="AH3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777.1</v>
      </c>
      <c r="AI34">
        <f>Table1__2[[#This Row],[Miscellaneous]]+Table1__2[[#This Row],[Pan, tobacco and intoxicants]]</f>
        <v>222.8</v>
      </c>
      <c r="AJ34" s="1">
        <f>Table1__2[[#This Row],[Housing]]+Table1__2[[#This Row],[Household goods and services]]</f>
        <v>222.2</v>
      </c>
    </row>
    <row r="35" spans="1:36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s="62">
        <v>139.26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1509</v>
      </c>
      <c r="AF35">
        <f>Table1__2[[#This Row],[Fuel and light]]</f>
        <v>112.8</v>
      </c>
      <c r="AG35">
        <f>Table1__2[[#This Row],[Transport and communication]]</f>
        <v>109.9</v>
      </c>
      <c r="AH3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784.3</v>
      </c>
      <c r="AI35">
        <f>Table1__2[[#This Row],[Miscellaneous]]+Table1__2[[#This Row],[Pan, tobacco and intoxicants]]</f>
        <v>223.7</v>
      </c>
      <c r="AJ35" s="1">
        <f>Table1__2[[#This Row],[Housing]]+Table1__2[[#This Row],[Household goods and services]]</f>
        <v>251.35999999999999</v>
      </c>
    </row>
    <row r="36" spans="1:36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1504.4</v>
      </c>
      <c r="AF36">
        <f>Table1__2[[#This Row],[Fuel and light]]</f>
        <v>110.4</v>
      </c>
      <c r="AG36">
        <f>Table1__2[[#This Row],[Transport and communication]]</f>
        <v>109.7</v>
      </c>
      <c r="AH3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775.8</v>
      </c>
      <c r="AI36">
        <f>Table1__2[[#This Row],[Miscellaneous]]+Table1__2[[#This Row],[Pan, tobacco and intoxicants]]</f>
        <v>224.8</v>
      </c>
      <c r="AJ36" s="1">
        <f>Table1__2[[#This Row],[Housing]]+Table1__2[[#This Row],[Household goods and services]]</f>
        <v>222</v>
      </c>
    </row>
    <row r="37" spans="1:36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1507.3000000000002</v>
      </c>
      <c r="AF37">
        <f>Table1__2[[#This Row],[Fuel and light]]</f>
        <v>111.9</v>
      </c>
      <c r="AG37">
        <f>Table1__2[[#This Row],[Transport and communication]]</f>
        <v>109.8</v>
      </c>
      <c r="AH3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780.80000000000007</v>
      </c>
      <c r="AI37">
        <f>Table1__2[[#This Row],[Miscellaneous]]+Table1__2[[#This Row],[Pan, tobacco and intoxicants]]</f>
        <v>224</v>
      </c>
      <c r="AJ37" s="1">
        <f>Table1__2[[#This Row],[Housing]]+Table1__2[[#This Row],[Household goods and services]]</f>
        <v>222.4</v>
      </c>
    </row>
    <row r="38" spans="1:36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s="62">
        <v>139.26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1486.6000000000001</v>
      </c>
      <c r="AF38">
        <f>Table1__2[[#This Row],[Fuel and light]]</f>
        <v>113</v>
      </c>
      <c r="AG38">
        <f>Table1__2[[#This Row],[Transport and communication]]</f>
        <v>110.5</v>
      </c>
      <c r="AH3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787.49999999999989</v>
      </c>
      <c r="AI38">
        <f>Table1__2[[#This Row],[Miscellaneous]]+Table1__2[[#This Row],[Pan, tobacco and intoxicants]]</f>
        <v>224.6</v>
      </c>
      <c r="AJ38" s="1">
        <f>Table1__2[[#This Row],[Housing]]+Table1__2[[#This Row],[Household goods and services]]</f>
        <v>251.85999999999999</v>
      </c>
    </row>
    <row r="39" spans="1:36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1484.3</v>
      </c>
      <c r="AF39">
        <f>Table1__2[[#This Row],[Fuel and light]]</f>
        <v>111</v>
      </c>
      <c r="AG39">
        <f>Table1__2[[#This Row],[Transport and communication]]</f>
        <v>110.8</v>
      </c>
      <c r="AH3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779.4</v>
      </c>
      <c r="AI39">
        <f>Table1__2[[#This Row],[Miscellaneous]]+Table1__2[[#This Row],[Pan, tobacco and intoxicants]]</f>
        <v>226.2</v>
      </c>
      <c r="AJ39" s="1">
        <f>Table1__2[[#This Row],[Housing]]+Table1__2[[#This Row],[Household goods and services]]</f>
        <v>223.5</v>
      </c>
    </row>
    <row r="40" spans="1:36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1485.7999999999997</v>
      </c>
      <c r="AF40">
        <f>Table1__2[[#This Row],[Fuel and light]]</f>
        <v>112.2</v>
      </c>
      <c r="AG40">
        <f>Table1__2[[#This Row],[Transport and communication]]</f>
        <v>110.7</v>
      </c>
      <c r="AH4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784.2</v>
      </c>
      <c r="AI40">
        <f>Table1__2[[#This Row],[Miscellaneous]]+Table1__2[[#This Row],[Pan, tobacco and intoxicants]]</f>
        <v>225.1</v>
      </c>
      <c r="AJ40" s="1">
        <f>Table1__2[[#This Row],[Housing]]+Table1__2[[#This Row],[Household goods and services]]</f>
        <v>223.89999999999998</v>
      </c>
    </row>
    <row r="41" spans="1:36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s="62">
        <v>139.26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1482.2</v>
      </c>
      <c r="AF41">
        <f>Table1__2[[#This Row],[Fuel and light]]</f>
        <v>113.2</v>
      </c>
      <c r="AG41">
        <f>Table1__2[[#This Row],[Transport and communication]]</f>
        <v>110.8</v>
      </c>
      <c r="AH4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789.80000000000007</v>
      </c>
      <c r="AI41">
        <f>Table1__2[[#This Row],[Miscellaneous]]+Table1__2[[#This Row],[Pan, tobacco and intoxicants]]</f>
        <v>225.10000000000002</v>
      </c>
      <c r="AJ41" s="1">
        <f>Table1__2[[#This Row],[Housing]]+Table1__2[[#This Row],[Household goods and services]]</f>
        <v>252.16</v>
      </c>
    </row>
    <row r="42" spans="1:36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1476</v>
      </c>
      <c r="AF42">
        <f>Table1__2[[#This Row],[Fuel and light]]</f>
        <v>111.1</v>
      </c>
      <c r="AG42">
        <f>Table1__2[[#This Row],[Transport and communication]]</f>
        <v>111.3</v>
      </c>
      <c r="AH4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782.7</v>
      </c>
      <c r="AI42">
        <f>Table1__2[[#This Row],[Miscellaneous]]+Table1__2[[#This Row],[Pan, tobacco and intoxicants]]</f>
        <v>227.2</v>
      </c>
      <c r="AJ42" s="1">
        <f>Table1__2[[#This Row],[Housing]]+Table1__2[[#This Row],[Household goods and services]]</f>
        <v>225.1</v>
      </c>
    </row>
    <row r="43" spans="1:36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1480.1</v>
      </c>
      <c r="AF43">
        <f>Table1__2[[#This Row],[Fuel and light]]</f>
        <v>112.4</v>
      </c>
      <c r="AG43">
        <f>Table1__2[[#This Row],[Transport and communication]]</f>
        <v>111.1</v>
      </c>
      <c r="AH4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786.9</v>
      </c>
      <c r="AI43">
        <f>Table1__2[[#This Row],[Miscellaneous]]+Table1__2[[#This Row],[Pan, tobacco and intoxicants]]</f>
        <v>225.60000000000002</v>
      </c>
      <c r="AJ43" s="1">
        <f>Table1__2[[#This Row],[Housing]]+Table1__2[[#This Row],[Household goods and services]]</f>
        <v>225.3</v>
      </c>
    </row>
    <row r="44" spans="1:36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s="62">
        <v>139.26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1491.4</v>
      </c>
      <c r="AF44">
        <f>Table1__2[[#This Row],[Fuel and light]]</f>
        <v>113.4</v>
      </c>
      <c r="AG44">
        <f>Table1__2[[#This Row],[Transport and communication]]</f>
        <v>111.2</v>
      </c>
      <c r="AH4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792.5</v>
      </c>
      <c r="AI44">
        <f>Table1__2[[#This Row],[Miscellaneous]]+Table1__2[[#This Row],[Pan, tobacco and intoxicants]]</f>
        <v>225.89999999999998</v>
      </c>
      <c r="AJ44" s="1">
        <f>Table1__2[[#This Row],[Housing]]+Table1__2[[#This Row],[Household goods and services]]</f>
        <v>252.66</v>
      </c>
    </row>
    <row r="45" spans="1:36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1483</v>
      </c>
      <c r="AF45">
        <f>Table1__2[[#This Row],[Fuel and light]]</f>
        <v>110.9</v>
      </c>
      <c r="AG45">
        <f>Table1__2[[#This Row],[Transport and communication]]</f>
        <v>111.6</v>
      </c>
      <c r="AH4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785.8</v>
      </c>
      <c r="AI45">
        <f>Table1__2[[#This Row],[Miscellaneous]]+Table1__2[[#This Row],[Pan, tobacco and intoxicants]]</f>
        <v>228.10000000000002</v>
      </c>
      <c r="AJ45" s="1">
        <f>Table1__2[[#This Row],[Housing]]+Table1__2[[#This Row],[Household goods and services]]</f>
        <v>226.2</v>
      </c>
    </row>
    <row r="46" spans="1:36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1488.2999999999997</v>
      </c>
      <c r="AF46">
        <f>Table1__2[[#This Row],[Fuel and light]]</f>
        <v>112.5</v>
      </c>
      <c r="AG46">
        <f>Table1__2[[#This Row],[Transport and communication]]</f>
        <v>111.4</v>
      </c>
      <c r="AH4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789.7</v>
      </c>
      <c r="AI46">
        <f>Table1__2[[#This Row],[Miscellaneous]]+Table1__2[[#This Row],[Pan, tobacco and intoxicants]]</f>
        <v>226.5</v>
      </c>
      <c r="AJ46" s="1">
        <f>Table1__2[[#This Row],[Housing]]+Table1__2[[#This Row],[Household goods and services]]</f>
        <v>226.4</v>
      </c>
    </row>
    <row r="47" spans="1:36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s="62">
        <v>139.26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1504.1000000000001</v>
      </c>
      <c r="AF47">
        <f>Table1__2[[#This Row],[Fuel and light]]</f>
        <v>113.4</v>
      </c>
      <c r="AG47">
        <f>Table1__2[[#This Row],[Transport and communication]]</f>
        <v>111.2</v>
      </c>
      <c r="AH4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796.2</v>
      </c>
      <c r="AI47">
        <f>Table1__2[[#This Row],[Miscellaneous]]+Table1__2[[#This Row],[Pan, tobacco and intoxicants]]</f>
        <v>226.9</v>
      </c>
      <c r="AJ47" s="1">
        <f>Table1__2[[#This Row],[Housing]]+Table1__2[[#This Row],[Household goods and services]]</f>
        <v>252.95999999999998</v>
      </c>
    </row>
    <row r="48" spans="1:36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1504.0000000000002</v>
      </c>
      <c r="AF48">
        <f>Table1__2[[#This Row],[Fuel and light]]</f>
        <v>110.9</v>
      </c>
      <c r="AG48">
        <f>Table1__2[[#This Row],[Transport and communication]]</f>
        <v>111.2</v>
      </c>
      <c r="AH4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788.3</v>
      </c>
      <c r="AI48">
        <f>Table1__2[[#This Row],[Miscellaneous]]+Table1__2[[#This Row],[Pan, tobacco and intoxicants]]</f>
        <v>229</v>
      </c>
      <c r="AJ48" s="1">
        <f>Table1__2[[#This Row],[Housing]]+Table1__2[[#This Row],[Household goods and services]]</f>
        <v>227.3</v>
      </c>
    </row>
    <row r="49" spans="1:36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1504.1</v>
      </c>
      <c r="AF49">
        <f>Table1__2[[#This Row],[Fuel and light]]</f>
        <v>112.5</v>
      </c>
      <c r="AG49">
        <f>Table1__2[[#This Row],[Transport and communication]]</f>
        <v>111.2</v>
      </c>
      <c r="AH4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793.1</v>
      </c>
      <c r="AI49">
        <f>Table1__2[[#This Row],[Miscellaneous]]+Table1__2[[#This Row],[Pan, tobacco and intoxicants]]</f>
        <v>227.5</v>
      </c>
      <c r="AJ49" s="1">
        <f>Table1__2[[#This Row],[Housing]]+Table1__2[[#This Row],[Household goods and services]]</f>
        <v>227.5</v>
      </c>
    </row>
    <row r="50" spans="1:36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s="62">
        <v>139.26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1513.8999999999999</v>
      </c>
      <c r="AF50">
        <f>Table1__2[[#This Row],[Fuel and light]]</f>
        <v>113.4</v>
      </c>
      <c r="AG50">
        <f>Table1__2[[#This Row],[Transport and communication]]</f>
        <v>111.4</v>
      </c>
      <c r="AH5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799</v>
      </c>
      <c r="AI50">
        <f>Table1__2[[#This Row],[Miscellaneous]]+Table1__2[[#This Row],[Pan, tobacco and intoxicants]]</f>
        <v>228.1</v>
      </c>
      <c r="AJ50" s="1">
        <f>Table1__2[[#This Row],[Housing]]+Table1__2[[#This Row],[Household goods and services]]</f>
        <v>253.35999999999999</v>
      </c>
    </row>
    <row r="51" spans="1:36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1525.3000000000002</v>
      </c>
      <c r="AF51">
        <f>Table1__2[[#This Row],[Fuel and light]]</f>
        <v>111.1</v>
      </c>
      <c r="AG51">
        <f>Table1__2[[#This Row],[Transport and communication]]</f>
        <v>111.3</v>
      </c>
      <c r="AH5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790.8</v>
      </c>
      <c r="AI51">
        <f>Table1__2[[#This Row],[Miscellaneous]]+Table1__2[[#This Row],[Pan, tobacco and intoxicants]]</f>
        <v>230</v>
      </c>
      <c r="AJ51" s="1">
        <f>Table1__2[[#This Row],[Housing]]+Table1__2[[#This Row],[Household goods and services]]</f>
        <v>228.39999999999998</v>
      </c>
    </row>
    <row r="52" spans="1:36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1518.5000000000005</v>
      </c>
      <c r="AF52">
        <f>Table1__2[[#This Row],[Fuel and light]]</f>
        <v>112.5</v>
      </c>
      <c r="AG52">
        <f>Table1__2[[#This Row],[Transport and communication]]</f>
        <v>111.3</v>
      </c>
      <c r="AH5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795.90000000000009</v>
      </c>
      <c r="AI52">
        <f>Table1__2[[#This Row],[Miscellaneous]]+Table1__2[[#This Row],[Pan, tobacco and intoxicants]]</f>
        <v>228.6</v>
      </c>
      <c r="AJ52" s="1">
        <f>Table1__2[[#This Row],[Housing]]+Table1__2[[#This Row],[Household goods and services]]</f>
        <v>228.39999999999998</v>
      </c>
    </row>
    <row r="53" spans="1:36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s="62">
        <v>139.26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1525.6999999999998</v>
      </c>
      <c r="AF53">
        <f>Table1__2[[#This Row],[Fuel and light]]</f>
        <v>114.4</v>
      </c>
      <c r="AG53">
        <f>Table1__2[[#This Row],[Transport and communication]]</f>
        <v>112.2</v>
      </c>
      <c r="AH5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802.8</v>
      </c>
      <c r="AI53">
        <f>Table1__2[[#This Row],[Miscellaneous]]+Table1__2[[#This Row],[Pan, tobacco and intoxicants]]</f>
        <v>229.6</v>
      </c>
      <c r="AJ53" s="1">
        <f>Table1__2[[#This Row],[Housing]]+Table1__2[[#This Row],[Household goods and services]]</f>
        <v>254.16</v>
      </c>
    </row>
    <row r="54" spans="1:36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1547</v>
      </c>
      <c r="AF54">
        <f>Table1__2[[#This Row],[Fuel and light]]</f>
        <v>111.2</v>
      </c>
      <c r="AG54">
        <f>Table1__2[[#This Row],[Transport and communication]]</f>
        <v>111.5</v>
      </c>
      <c r="AH5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794.30000000000007</v>
      </c>
      <c r="AI54">
        <f>Table1__2[[#This Row],[Miscellaneous]]+Table1__2[[#This Row],[Pan, tobacco and intoxicants]]</f>
        <v>231.2</v>
      </c>
      <c r="AJ54" s="1">
        <f>Table1__2[[#This Row],[Housing]]+Table1__2[[#This Row],[Household goods and services]]</f>
        <v>228.2</v>
      </c>
    </row>
    <row r="55" spans="1:36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1533.7000000000003</v>
      </c>
      <c r="AF55">
        <f>Table1__2[[#This Row],[Fuel and light]]</f>
        <v>113.2</v>
      </c>
      <c r="AG55">
        <f>Table1__2[[#This Row],[Transport and communication]]</f>
        <v>111.8</v>
      </c>
      <c r="AH5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799.69999999999993</v>
      </c>
      <c r="AI55">
        <f>Table1__2[[#This Row],[Miscellaneous]]+Table1__2[[#This Row],[Pan, tobacco and intoxicants]]</f>
        <v>230.1</v>
      </c>
      <c r="AJ55" s="1">
        <f>Table1__2[[#This Row],[Housing]]+Table1__2[[#This Row],[Household goods and services]]</f>
        <v>228.5</v>
      </c>
    </row>
    <row r="56" spans="1:36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s="62">
        <v>139.26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1563.2</v>
      </c>
      <c r="AF56">
        <f>Table1__2[[#This Row],[Fuel and light]]</f>
        <v>115.3</v>
      </c>
      <c r="AG56">
        <f>Table1__2[[#This Row],[Transport and communication]]</f>
        <v>113.2</v>
      </c>
      <c r="AH5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808.8</v>
      </c>
      <c r="AI56">
        <f>Table1__2[[#This Row],[Miscellaneous]]+Table1__2[[#This Row],[Pan, tobacco and intoxicants]]</f>
        <v>231.1</v>
      </c>
      <c r="AJ56" s="1">
        <f>Table1__2[[#This Row],[Housing]]+Table1__2[[#This Row],[Household goods and services]]</f>
        <v>254.66</v>
      </c>
    </row>
    <row r="57" spans="1:36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1599.5</v>
      </c>
      <c r="AF57">
        <f>Table1__2[[#This Row],[Fuel and light]]</f>
        <v>111.6</v>
      </c>
      <c r="AG57">
        <f>Table1__2[[#This Row],[Transport and communication]]</f>
        <v>113</v>
      </c>
      <c r="AH5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800.4</v>
      </c>
      <c r="AI57">
        <f>Table1__2[[#This Row],[Miscellaneous]]+Table1__2[[#This Row],[Pan, tobacco and intoxicants]]</f>
        <v>234.5</v>
      </c>
      <c r="AJ57" s="1">
        <f>Table1__2[[#This Row],[Housing]]+Table1__2[[#This Row],[Household goods and services]]</f>
        <v>229.7</v>
      </c>
    </row>
    <row r="58" spans="1:36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1576.3</v>
      </c>
      <c r="AF58">
        <f>Table1__2[[#This Row],[Fuel and light]]</f>
        <v>113.9</v>
      </c>
      <c r="AG58">
        <f>Table1__2[[#This Row],[Transport and communication]]</f>
        <v>113.1</v>
      </c>
      <c r="AH5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805.79999999999984</v>
      </c>
      <c r="AI58">
        <f>Table1__2[[#This Row],[Miscellaneous]]+Table1__2[[#This Row],[Pan, tobacco and intoxicants]]</f>
        <v>232.1</v>
      </c>
      <c r="AJ58" s="1">
        <f>Table1__2[[#This Row],[Housing]]+Table1__2[[#This Row],[Household goods and services]]</f>
        <v>230</v>
      </c>
    </row>
    <row r="59" spans="1:36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s="62">
        <v>139.26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1582.2999999999997</v>
      </c>
      <c r="AF59">
        <f>Table1__2[[#This Row],[Fuel and light]]</f>
        <v>115.4</v>
      </c>
      <c r="AG59">
        <f>Table1__2[[#This Row],[Transport and communication]]</f>
        <v>113.2</v>
      </c>
      <c r="AH5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812.2</v>
      </c>
      <c r="AI59">
        <f>Table1__2[[#This Row],[Miscellaneous]]+Table1__2[[#This Row],[Pan, tobacco and intoxicants]]</f>
        <v>232.3</v>
      </c>
      <c r="AJ59" s="1">
        <f>Table1__2[[#This Row],[Housing]]+Table1__2[[#This Row],[Household goods and services]]</f>
        <v>255.16</v>
      </c>
    </row>
    <row r="60" spans="1:36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1617</v>
      </c>
      <c r="AF60">
        <f>Table1__2[[#This Row],[Fuel and light]]</f>
        <v>111.8</v>
      </c>
      <c r="AG60">
        <f>Table1__2[[#This Row],[Transport and communication]]</f>
        <v>112.5</v>
      </c>
      <c r="AH6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805.40000000000009</v>
      </c>
      <c r="AI60">
        <f>Table1__2[[#This Row],[Miscellaneous]]+Table1__2[[#This Row],[Pan, tobacco and intoxicants]]</f>
        <v>236.9</v>
      </c>
      <c r="AJ60" s="1">
        <f>Table1__2[[#This Row],[Housing]]+Table1__2[[#This Row],[Household goods and services]]</f>
        <v>230.8</v>
      </c>
    </row>
    <row r="61" spans="1:36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1594.4999999999998</v>
      </c>
      <c r="AF61">
        <f>Table1__2[[#This Row],[Fuel and light]]</f>
        <v>114</v>
      </c>
      <c r="AG61">
        <f>Table1__2[[#This Row],[Transport and communication]]</f>
        <v>112.8</v>
      </c>
      <c r="AH6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810.2</v>
      </c>
      <c r="AI61">
        <f>Table1__2[[#This Row],[Miscellaneous]]+Table1__2[[#This Row],[Pan, tobacco and intoxicants]]</f>
        <v>233.60000000000002</v>
      </c>
      <c r="AJ61" s="1">
        <f>Table1__2[[#This Row],[Housing]]+Table1__2[[#This Row],[Household goods and services]]</f>
        <v>231.1</v>
      </c>
    </row>
    <row r="62" spans="1:36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s="62">
        <v>139.26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1583.2</v>
      </c>
      <c r="AF62">
        <f>Table1__2[[#This Row],[Fuel and light]]</f>
        <v>115.8</v>
      </c>
      <c r="AG62">
        <f>Table1__2[[#This Row],[Transport and communication]]</f>
        <v>112.8</v>
      </c>
      <c r="AH6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815.00000000000011</v>
      </c>
      <c r="AI62">
        <f>Table1__2[[#This Row],[Miscellaneous]]+Table1__2[[#This Row],[Pan, tobacco and intoxicants]]</f>
        <v>233.2</v>
      </c>
      <c r="AJ62" s="1">
        <f>Table1__2[[#This Row],[Housing]]+Table1__2[[#This Row],[Household goods and services]]</f>
        <v>255.95999999999998</v>
      </c>
    </row>
    <row r="63" spans="1:36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1593.7000000000003</v>
      </c>
      <c r="AF63">
        <f>Table1__2[[#This Row],[Fuel and light]]</f>
        <v>111.8</v>
      </c>
      <c r="AG63">
        <f>Table1__2[[#This Row],[Transport and communication]]</f>
        <v>111.2</v>
      </c>
      <c r="AH6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807.80000000000007</v>
      </c>
      <c r="AI63">
        <f>Table1__2[[#This Row],[Miscellaneous]]+Table1__2[[#This Row],[Pan, tobacco and intoxicants]]</f>
        <v>237.89999999999998</v>
      </c>
      <c r="AJ63" s="1">
        <f>Table1__2[[#This Row],[Housing]]+Table1__2[[#This Row],[Household goods and services]]</f>
        <v>231.6</v>
      </c>
    </row>
    <row r="64" spans="1:36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1586.0999999999997</v>
      </c>
      <c r="AF64">
        <f>Table1__2[[#This Row],[Fuel and light]]</f>
        <v>114.3</v>
      </c>
      <c r="AG64">
        <f>Table1__2[[#This Row],[Transport and communication]]</f>
        <v>112</v>
      </c>
      <c r="AH6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812.90000000000009</v>
      </c>
      <c r="AI64">
        <f>Table1__2[[#This Row],[Miscellaneous]]+Table1__2[[#This Row],[Pan, tobacco and intoxicants]]</f>
        <v>234.5</v>
      </c>
      <c r="AJ64" s="1">
        <f>Table1__2[[#This Row],[Housing]]+Table1__2[[#This Row],[Household goods and services]]</f>
        <v>232.2</v>
      </c>
    </row>
    <row r="65" spans="1:36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s="62">
        <v>139.26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1581.1999999999998</v>
      </c>
      <c r="AF65">
        <f>Table1__2[[#This Row],[Fuel and light]]</f>
        <v>116.4</v>
      </c>
      <c r="AG65">
        <f>Table1__2[[#This Row],[Transport and communication]]</f>
        <v>112.6</v>
      </c>
      <c r="AH6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819.8</v>
      </c>
      <c r="AI65">
        <f>Table1__2[[#This Row],[Miscellaneous]]+Table1__2[[#This Row],[Pan, tobacco and intoxicants]]</f>
        <v>234</v>
      </c>
      <c r="AJ65" s="1">
        <f>Table1__2[[#This Row],[Housing]]+Table1__2[[#This Row],[Household goods and services]]</f>
        <v>256.76</v>
      </c>
    </row>
    <row r="66" spans="1:36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1587.5</v>
      </c>
      <c r="AF66">
        <f>Table1__2[[#This Row],[Fuel and light]]</f>
        <v>112</v>
      </c>
      <c r="AG66">
        <f>Table1__2[[#This Row],[Transport and communication]]</f>
        <v>111</v>
      </c>
      <c r="AH6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809.90000000000009</v>
      </c>
      <c r="AI66">
        <f>Table1__2[[#This Row],[Miscellaneous]]+Table1__2[[#This Row],[Pan, tobacco and intoxicants]]</f>
        <v>238</v>
      </c>
      <c r="AJ66" s="1">
        <f>Table1__2[[#This Row],[Housing]]+Table1__2[[#This Row],[Household goods and services]]</f>
        <v>232.5</v>
      </c>
    </row>
    <row r="67" spans="1:36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1582.7</v>
      </c>
      <c r="AF67">
        <f>Table1__2[[#This Row],[Fuel and light]]</f>
        <v>114.7</v>
      </c>
      <c r="AG67">
        <f>Table1__2[[#This Row],[Transport and communication]]</f>
        <v>111.8</v>
      </c>
      <c r="AH6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816.6</v>
      </c>
      <c r="AI67">
        <f>Table1__2[[#This Row],[Miscellaneous]]+Table1__2[[#This Row],[Pan, tobacco and intoxicants]]</f>
        <v>235</v>
      </c>
      <c r="AJ67" s="1">
        <f>Table1__2[[#This Row],[Housing]]+Table1__2[[#This Row],[Household goods and services]]</f>
        <v>233.4</v>
      </c>
    </row>
    <row r="68" spans="1:36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s="62">
        <v>139.26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1582</v>
      </c>
      <c r="AF68">
        <f>Table1__2[[#This Row],[Fuel and light]]</f>
        <v>117.3</v>
      </c>
      <c r="AG68">
        <f>Table1__2[[#This Row],[Transport and communication]]</f>
        <v>112</v>
      </c>
      <c r="AH6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821.9</v>
      </c>
      <c r="AI68">
        <f>Table1__2[[#This Row],[Miscellaneous]]+Table1__2[[#This Row],[Pan, tobacco and intoxicants]]</f>
        <v>234.89999999999998</v>
      </c>
      <c r="AJ68" s="1">
        <f>Table1__2[[#This Row],[Housing]]+Table1__2[[#This Row],[Household goods and services]]</f>
        <v>257.36</v>
      </c>
    </row>
    <row r="69" spans="1:36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1587.8</v>
      </c>
      <c r="AF69">
        <f>Table1__2[[#This Row],[Fuel and light]]</f>
        <v>112.6</v>
      </c>
      <c r="AG69">
        <f>Table1__2[[#This Row],[Transport and communication]]</f>
        <v>109.7</v>
      </c>
      <c r="AH6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812.09999999999991</v>
      </c>
      <c r="AI69">
        <f>Table1__2[[#This Row],[Miscellaneous]]+Table1__2[[#This Row],[Pan, tobacco and intoxicants]]</f>
        <v>239.2</v>
      </c>
      <c r="AJ69" s="1">
        <f>Table1__2[[#This Row],[Housing]]+Table1__2[[#This Row],[Household goods and services]]</f>
        <v>233.5</v>
      </c>
    </row>
    <row r="70" spans="1:36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1583.2</v>
      </c>
      <c r="AF70">
        <f>Table1__2[[#This Row],[Fuel and light]]</f>
        <v>115.5</v>
      </c>
      <c r="AG70">
        <f>Table1__2[[#This Row],[Transport and communication]]</f>
        <v>110.8</v>
      </c>
      <c r="AH7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818.69999999999993</v>
      </c>
      <c r="AI70">
        <f>Table1__2[[#This Row],[Miscellaneous]]+Table1__2[[#This Row],[Pan, tobacco and intoxicants]]</f>
        <v>235.89999999999998</v>
      </c>
      <c r="AJ70" s="1">
        <f>Table1__2[[#This Row],[Housing]]+Table1__2[[#This Row],[Household goods and services]]</f>
        <v>234.39999999999998</v>
      </c>
    </row>
    <row r="71" spans="1:36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s="62">
        <v>139.26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1569.6</v>
      </c>
      <c r="AF71">
        <f>Table1__2[[#This Row],[Fuel and light]]</f>
        <v>117.4</v>
      </c>
      <c r="AG71">
        <f>Table1__2[[#This Row],[Transport and communication]]</f>
        <v>111.5</v>
      </c>
      <c r="AH7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824.30000000000007</v>
      </c>
      <c r="AI71">
        <f>Table1__2[[#This Row],[Miscellaneous]]+Table1__2[[#This Row],[Pan, tobacco and intoxicants]]</f>
        <v>235.9</v>
      </c>
      <c r="AJ71" s="1">
        <f>Table1__2[[#This Row],[Housing]]+Table1__2[[#This Row],[Household goods and services]]</f>
        <v>257.45999999999998</v>
      </c>
    </row>
    <row r="72" spans="1:36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1577.1999999999998</v>
      </c>
      <c r="AF72">
        <f>Table1__2[[#This Row],[Fuel and light]]</f>
        <v>113</v>
      </c>
      <c r="AG72">
        <f>Table1__2[[#This Row],[Transport and communication]]</f>
        <v>108.8</v>
      </c>
      <c r="AH7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815.1</v>
      </c>
      <c r="AI72">
        <f>Table1__2[[#This Row],[Miscellaneous]]+Table1__2[[#This Row],[Pan, tobacco and intoxicants]]</f>
        <v>239.8</v>
      </c>
      <c r="AJ72" s="1">
        <f>Table1__2[[#This Row],[Housing]]+Table1__2[[#This Row],[Household goods and services]]</f>
        <v>233.3</v>
      </c>
    </row>
    <row r="73" spans="1:36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1571.6999999999998</v>
      </c>
      <c r="AF73">
        <f>Table1__2[[#This Row],[Fuel and light]]</f>
        <v>115.7</v>
      </c>
      <c r="AG73">
        <f>Table1__2[[#This Row],[Transport and communication]]</f>
        <v>110.1</v>
      </c>
      <c r="AH7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821.5</v>
      </c>
      <c r="AI73">
        <f>Table1__2[[#This Row],[Miscellaneous]]+Table1__2[[#This Row],[Pan, tobacco and intoxicants]]</f>
        <v>236.8</v>
      </c>
      <c r="AJ73" s="1">
        <f>Table1__2[[#This Row],[Housing]]+Table1__2[[#This Row],[Household goods and services]]</f>
        <v>234</v>
      </c>
    </row>
    <row r="74" spans="1:36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s="62">
        <v>139.26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1568.1</v>
      </c>
      <c r="AF74">
        <f>Table1__2[[#This Row],[Fuel and light]]</f>
        <v>118.4</v>
      </c>
      <c r="AG74">
        <f>Table1__2[[#This Row],[Transport and communication]]</f>
        <v>111</v>
      </c>
      <c r="AH7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829</v>
      </c>
      <c r="AI74">
        <f>Table1__2[[#This Row],[Miscellaneous]]+Table1__2[[#This Row],[Pan, tobacco and intoxicants]]</f>
        <v>237.2</v>
      </c>
      <c r="AJ74" s="1">
        <f>Table1__2[[#This Row],[Housing]]+Table1__2[[#This Row],[Household goods and services]]</f>
        <v>258.15999999999997</v>
      </c>
    </row>
    <row r="75" spans="1:36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1574.8999999999999</v>
      </c>
      <c r="AF75">
        <f>Table1__2[[#This Row],[Fuel and light]]</f>
        <v>113.4</v>
      </c>
      <c r="AG75">
        <f>Table1__2[[#This Row],[Transport and communication]]</f>
        <v>107.9</v>
      </c>
      <c r="AH7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817.8</v>
      </c>
      <c r="AI75">
        <f>Table1__2[[#This Row],[Miscellaneous]]+Table1__2[[#This Row],[Pan, tobacco and intoxicants]]</f>
        <v>240.8</v>
      </c>
      <c r="AJ75" s="1">
        <f>Table1__2[[#This Row],[Housing]]+Table1__2[[#This Row],[Household goods and services]]</f>
        <v>234.5</v>
      </c>
    </row>
    <row r="76" spans="1:36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1569.3</v>
      </c>
      <c r="AF76">
        <f>Table1__2[[#This Row],[Fuel and light]]</f>
        <v>116.5</v>
      </c>
      <c r="AG76">
        <f>Table1__2[[#This Row],[Transport and communication]]</f>
        <v>109.4</v>
      </c>
      <c r="AH7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825.1</v>
      </c>
      <c r="AI76">
        <f>Table1__2[[#This Row],[Miscellaneous]]+Table1__2[[#This Row],[Pan, tobacco and intoxicants]]</f>
        <v>238</v>
      </c>
      <c r="AJ76" s="1">
        <f>Table1__2[[#This Row],[Housing]]+Table1__2[[#This Row],[Household goods and services]]</f>
        <v>235.39999999999998</v>
      </c>
    </row>
    <row r="77" spans="1:36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s="62">
        <v>139.26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1570.5999999999997</v>
      </c>
      <c r="AF77">
        <f>Table1__2[[#This Row],[Fuel and light]]</f>
        <v>120</v>
      </c>
      <c r="AG77">
        <f>Table1__2[[#This Row],[Transport and communication]]</f>
        <v>110.9</v>
      </c>
      <c r="AH7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835.10000000000014</v>
      </c>
      <c r="AI77">
        <f>Table1__2[[#This Row],[Miscellaneous]]+Table1__2[[#This Row],[Pan, tobacco and intoxicants]]</f>
        <v>239.2</v>
      </c>
      <c r="AJ77" s="1">
        <f>Table1__2[[#This Row],[Housing]]+Table1__2[[#This Row],[Household goods and services]]</f>
        <v>258.86</v>
      </c>
    </row>
    <row r="78" spans="1:36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1571.1000000000001</v>
      </c>
      <c r="AF78">
        <f>Table1__2[[#This Row],[Fuel and light]]</f>
        <v>114</v>
      </c>
      <c r="AG78">
        <f>Table1__2[[#This Row],[Transport and communication]]</f>
        <v>106.8</v>
      </c>
      <c r="AH7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819.5</v>
      </c>
      <c r="AI78">
        <f>Table1__2[[#This Row],[Miscellaneous]]+Table1__2[[#This Row],[Pan, tobacco and intoxicants]]</f>
        <v>241.3</v>
      </c>
      <c r="AJ78" s="1">
        <f>Table1__2[[#This Row],[Housing]]+Table1__2[[#This Row],[Household goods and services]]</f>
        <v>235.8</v>
      </c>
    </row>
    <row r="79" spans="1:36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1569.3999999999996</v>
      </c>
      <c r="AF79">
        <f>Table1__2[[#This Row],[Fuel and light]]</f>
        <v>117.7</v>
      </c>
      <c r="AG79">
        <f>Table1__2[[#This Row],[Transport and communication]]</f>
        <v>108.7</v>
      </c>
      <c r="AH7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829.30000000000007</v>
      </c>
      <c r="AI79">
        <f>Table1__2[[#This Row],[Miscellaneous]]+Table1__2[[#This Row],[Pan, tobacco and intoxicants]]</f>
        <v>239.3</v>
      </c>
      <c r="AJ79" s="1">
        <f>Table1__2[[#This Row],[Housing]]+Table1__2[[#This Row],[Household goods and services]]</f>
        <v>236.8</v>
      </c>
    </row>
    <row r="80" spans="1:36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s="62">
        <v>139.26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1571.5</v>
      </c>
      <c r="AF80">
        <f>Table1__2[[#This Row],[Fuel and light]]</f>
        <v>120.6</v>
      </c>
      <c r="AG80">
        <f>Table1__2[[#This Row],[Transport and communication]]</f>
        <v>111.6</v>
      </c>
      <c r="AH8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838.3</v>
      </c>
      <c r="AI80">
        <f>Table1__2[[#This Row],[Miscellaneous]]+Table1__2[[#This Row],[Pan, tobacco and intoxicants]]</f>
        <v>240.2</v>
      </c>
      <c r="AJ80" s="1">
        <f>Table1__2[[#This Row],[Housing]]+Table1__2[[#This Row],[Household goods and services]]</f>
        <v>259.45999999999998</v>
      </c>
    </row>
    <row r="81" spans="1:36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1568.0000000000002</v>
      </c>
      <c r="AF81">
        <f>Table1__2[[#This Row],[Fuel and light]]</f>
        <v>114.4</v>
      </c>
      <c r="AG81">
        <f>Table1__2[[#This Row],[Transport and communication]]</f>
        <v>108.4</v>
      </c>
      <c r="AH8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821.1</v>
      </c>
      <c r="AI81">
        <f>Table1__2[[#This Row],[Miscellaneous]]+Table1__2[[#This Row],[Pan, tobacco and intoxicants]]</f>
        <v>242.60000000000002</v>
      </c>
      <c r="AJ81" s="1">
        <f>Table1__2[[#This Row],[Housing]]+Table1__2[[#This Row],[Household goods and services]]</f>
        <v>236.6</v>
      </c>
    </row>
    <row r="82" spans="1:36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1569.1</v>
      </c>
      <c r="AF82">
        <f>Table1__2[[#This Row],[Fuel and light]]</f>
        <v>118.3</v>
      </c>
      <c r="AG82">
        <f>Table1__2[[#This Row],[Transport and communication]]</f>
        <v>109.9</v>
      </c>
      <c r="AH8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831.6</v>
      </c>
      <c r="AI82">
        <f>Table1__2[[#This Row],[Miscellaneous]]+Table1__2[[#This Row],[Pan, tobacco and intoxicants]]</f>
        <v>240.5</v>
      </c>
      <c r="AJ82" s="1">
        <f>Table1__2[[#This Row],[Housing]]+Table1__2[[#This Row],[Household goods and services]]</f>
        <v>237.8</v>
      </c>
    </row>
    <row r="83" spans="1:36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s="62">
        <v>139.26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1577.2</v>
      </c>
      <c r="AF83">
        <f>Table1__2[[#This Row],[Fuel and light]]</f>
        <v>121.2</v>
      </c>
      <c r="AG83">
        <f>Table1__2[[#This Row],[Transport and communication]]</f>
        <v>111.9</v>
      </c>
      <c r="AH8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841.99999999999989</v>
      </c>
      <c r="AI83">
        <f>Table1__2[[#This Row],[Miscellaneous]]+Table1__2[[#This Row],[Pan, tobacco and intoxicants]]</f>
        <v>241.7</v>
      </c>
      <c r="AJ83" s="1">
        <f>Table1__2[[#This Row],[Housing]]+Table1__2[[#This Row],[Household goods and services]]</f>
        <v>260.15999999999997</v>
      </c>
    </row>
    <row r="84" spans="1:36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1576.1</v>
      </c>
      <c r="AF84">
        <f>Table1__2[[#This Row],[Fuel and light]]</f>
        <v>114.7</v>
      </c>
      <c r="AG84">
        <f>Table1__2[[#This Row],[Transport and communication]]</f>
        <v>108.4</v>
      </c>
      <c r="AH8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824.30000000000007</v>
      </c>
      <c r="AI84">
        <f>Table1__2[[#This Row],[Miscellaneous]]+Table1__2[[#This Row],[Pan, tobacco and intoxicants]]</f>
        <v>244.3</v>
      </c>
      <c r="AJ84" s="1">
        <f>Table1__2[[#This Row],[Housing]]+Table1__2[[#This Row],[Household goods and services]]</f>
        <v>237.60000000000002</v>
      </c>
    </row>
    <row r="85" spans="1:36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1575.7</v>
      </c>
      <c r="AF85">
        <f>Table1__2[[#This Row],[Fuel and light]]</f>
        <v>118.7</v>
      </c>
      <c r="AG85">
        <f>Table1__2[[#This Row],[Transport and communication]]</f>
        <v>110.1</v>
      </c>
      <c r="AH8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835.30000000000007</v>
      </c>
      <c r="AI85">
        <f>Table1__2[[#This Row],[Miscellaneous]]+Table1__2[[#This Row],[Pan, tobacco and intoxicants]]</f>
        <v>242</v>
      </c>
      <c r="AJ85" s="1">
        <f>Table1__2[[#This Row],[Housing]]+Table1__2[[#This Row],[Household goods and services]]</f>
        <v>238.9</v>
      </c>
    </row>
    <row r="86" spans="1:36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s="62">
        <v>139.26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1587.7</v>
      </c>
      <c r="AF86">
        <f>Table1__2[[#This Row],[Fuel and light]]</f>
        <v>121.9</v>
      </c>
      <c r="AG86">
        <f>Table1__2[[#This Row],[Transport and communication]]</f>
        <v>113.3</v>
      </c>
      <c r="AH8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847.1</v>
      </c>
      <c r="AI86">
        <f>Table1__2[[#This Row],[Miscellaneous]]+Table1__2[[#This Row],[Pan, tobacco and intoxicants]]</f>
        <v>243.60000000000002</v>
      </c>
      <c r="AJ86" s="1">
        <f>Table1__2[[#This Row],[Housing]]+Table1__2[[#This Row],[Household goods and services]]</f>
        <v>260.76</v>
      </c>
    </row>
    <row r="87" spans="1:36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1598.9</v>
      </c>
      <c r="AF87">
        <f>Table1__2[[#This Row],[Fuel and light]]</f>
        <v>114.9</v>
      </c>
      <c r="AG87">
        <f>Table1__2[[#This Row],[Transport and communication]]</f>
        <v>110.8</v>
      </c>
      <c r="AH8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826.69999999999993</v>
      </c>
      <c r="AI87">
        <f>Table1__2[[#This Row],[Miscellaneous]]+Table1__2[[#This Row],[Pan, tobacco and intoxicants]]</f>
        <v>246.5</v>
      </c>
      <c r="AJ87" s="1">
        <f>Table1__2[[#This Row],[Housing]]+Table1__2[[#This Row],[Household goods and services]]</f>
        <v>238.3</v>
      </c>
    </row>
    <row r="88" spans="1:36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1590.4</v>
      </c>
      <c r="AF88">
        <f>Table1__2[[#This Row],[Fuel and light]]</f>
        <v>119.2</v>
      </c>
      <c r="AG88">
        <f>Table1__2[[#This Row],[Transport and communication]]</f>
        <v>112</v>
      </c>
      <c r="AH8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839.09999999999991</v>
      </c>
      <c r="AI88">
        <f>Table1__2[[#This Row],[Miscellaneous]]+Table1__2[[#This Row],[Pan, tobacco and intoxicants]]</f>
        <v>244</v>
      </c>
      <c r="AJ88" s="1">
        <f>Table1__2[[#This Row],[Housing]]+Table1__2[[#This Row],[Household goods and services]]</f>
        <v>239.8</v>
      </c>
    </row>
    <row r="89" spans="1:36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s="62">
        <v>139.26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1617.8999999999999</v>
      </c>
      <c r="AF89">
        <f>Table1__2[[#This Row],[Fuel and light]]</f>
        <v>122.6</v>
      </c>
      <c r="AG89">
        <f>Table1__2[[#This Row],[Transport and communication]]</f>
        <v>114.2</v>
      </c>
      <c r="AH8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854.8</v>
      </c>
      <c r="AI89">
        <f>Table1__2[[#This Row],[Miscellaneous]]+Table1__2[[#This Row],[Pan, tobacco and intoxicants]]</f>
        <v>246.1</v>
      </c>
      <c r="AJ89" s="1">
        <f>Table1__2[[#This Row],[Housing]]+Table1__2[[#This Row],[Household goods and services]]</f>
        <v>262.06</v>
      </c>
    </row>
    <row r="90" spans="1:36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1636.6</v>
      </c>
      <c r="AF90">
        <f>Table1__2[[#This Row],[Fuel and light]]</f>
        <v>115.1</v>
      </c>
      <c r="AG90">
        <f>Table1__2[[#This Row],[Transport and communication]]</f>
        <v>111.7</v>
      </c>
      <c r="AH9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831</v>
      </c>
      <c r="AI90">
        <f>Table1__2[[#This Row],[Miscellaneous]]+Table1__2[[#This Row],[Pan, tobacco and intoxicants]]</f>
        <v>248.1</v>
      </c>
      <c r="AJ90" s="1">
        <f>Table1__2[[#This Row],[Housing]]+Table1__2[[#This Row],[Household goods and services]]</f>
        <v>238.2</v>
      </c>
    </row>
    <row r="91" spans="1:36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1623.5</v>
      </c>
      <c r="AF91">
        <f>Table1__2[[#This Row],[Fuel and light]]</f>
        <v>119.8</v>
      </c>
      <c r="AG91">
        <f>Table1__2[[#This Row],[Transport and communication]]</f>
        <v>112.9</v>
      </c>
      <c r="AH9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845.4</v>
      </c>
      <c r="AI91">
        <f>Table1__2[[#This Row],[Miscellaneous]]+Table1__2[[#This Row],[Pan, tobacco and intoxicants]]</f>
        <v>246.2</v>
      </c>
      <c r="AJ91" s="1">
        <f>Table1__2[[#This Row],[Housing]]+Table1__2[[#This Row],[Household goods and services]]</f>
        <v>240.1</v>
      </c>
    </row>
    <row r="92" spans="1:36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s="62">
        <v>139.26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1625.3</v>
      </c>
      <c r="AF92">
        <f>Table1__2[[#This Row],[Fuel and light]]</f>
        <v>123</v>
      </c>
      <c r="AG92">
        <f>Table1__2[[#This Row],[Transport and communication]]</f>
        <v>114.1</v>
      </c>
      <c r="AH9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857</v>
      </c>
      <c r="AI92">
        <f>Table1__2[[#This Row],[Miscellaneous]]+Table1__2[[#This Row],[Pan, tobacco and intoxicants]]</f>
        <v>247.5</v>
      </c>
      <c r="AJ92" s="1">
        <f>Table1__2[[#This Row],[Housing]]+Table1__2[[#This Row],[Household goods and services]]</f>
        <v>262.26</v>
      </c>
    </row>
    <row r="93" spans="1:36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1642.8999999999999</v>
      </c>
      <c r="AF93">
        <f>Table1__2[[#This Row],[Fuel and light]]</f>
        <v>115.3</v>
      </c>
      <c r="AG93">
        <f>Table1__2[[#This Row],[Transport and communication]]</f>
        <v>111.5</v>
      </c>
      <c r="AH9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833.8</v>
      </c>
      <c r="AI93">
        <f>Table1__2[[#This Row],[Miscellaneous]]+Table1__2[[#This Row],[Pan, tobacco and intoxicants]]</f>
        <v>249.39999999999998</v>
      </c>
      <c r="AJ93" s="1">
        <f>Table1__2[[#This Row],[Housing]]+Table1__2[[#This Row],[Household goods and services]]</f>
        <v>239.4</v>
      </c>
    </row>
    <row r="94" spans="1:36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1630.6000000000001</v>
      </c>
      <c r="AF94">
        <f>Table1__2[[#This Row],[Fuel and light]]</f>
        <v>120.1</v>
      </c>
      <c r="AG94">
        <f>Table1__2[[#This Row],[Transport and communication]]</f>
        <v>112.7</v>
      </c>
      <c r="AH9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848</v>
      </c>
      <c r="AI94">
        <f>Table1__2[[#This Row],[Miscellaneous]]+Table1__2[[#This Row],[Pan, tobacco and intoxicants]]</f>
        <v>247.60000000000002</v>
      </c>
      <c r="AJ94" s="1">
        <f>Table1__2[[#This Row],[Housing]]+Table1__2[[#This Row],[Household goods and services]]</f>
        <v>241.2</v>
      </c>
    </row>
    <row r="95" spans="1:36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s="62">
        <v>139.26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1646.6</v>
      </c>
      <c r="AF95">
        <f>Table1__2[[#This Row],[Fuel and light]]</f>
        <v>123.8</v>
      </c>
      <c r="AG95">
        <f>Table1__2[[#This Row],[Transport and communication]]</f>
        <v>113.6</v>
      </c>
      <c r="AH9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860.5</v>
      </c>
      <c r="AI95">
        <f>Table1__2[[#This Row],[Miscellaneous]]+Table1__2[[#This Row],[Pan, tobacco and intoxicants]]</f>
        <v>248.3</v>
      </c>
      <c r="AJ95" s="1">
        <f>Table1__2[[#This Row],[Housing]]+Table1__2[[#This Row],[Household goods and services]]</f>
        <v>262.95999999999998</v>
      </c>
    </row>
    <row r="96" spans="1:36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1658.8999999999999</v>
      </c>
      <c r="AF96">
        <f>Table1__2[[#This Row],[Fuel and light]]</f>
        <v>115.3</v>
      </c>
      <c r="AG96">
        <f>Table1__2[[#This Row],[Transport and communication]]</f>
        <v>109.9</v>
      </c>
      <c r="AH9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836.80000000000018</v>
      </c>
      <c r="AI96">
        <f>Table1__2[[#This Row],[Miscellaneous]]+Table1__2[[#This Row],[Pan, tobacco and intoxicants]]</f>
        <v>250.39999999999998</v>
      </c>
      <c r="AJ96" s="1">
        <f>Table1__2[[#This Row],[Housing]]+Table1__2[[#This Row],[Household goods and services]]</f>
        <v>240.9</v>
      </c>
    </row>
    <row r="97" spans="1:36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1649.6</v>
      </c>
      <c r="AF97">
        <f>Table1__2[[#This Row],[Fuel and light]]</f>
        <v>120.6</v>
      </c>
      <c r="AG97">
        <f>Table1__2[[#This Row],[Transport and communication]]</f>
        <v>111.7</v>
      </c>
      <c r="AH9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851.30000000000007</v>
      </c>
      <c r="AI97">
        <f>Table1__2[[#This Row],[Miscellaneous]]+Table1__2[[#This Row],[Pan, tobacco and intoxicants]]</f>
        <v>248.39999999999998</v>
      </c>
      <c r="AJ97" s="1">
        <f>Table1__2[[#This Row],[Housing]]+Table1__2[[#This Row],[Household goods and services]]</f>
        <v>242.9</v>
      </c>
    </row>
    <row r="98" spans="1:36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s="62">
        <v>139.26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1657.6000000000001</v>
      </c>
      <c r="AF98">
        <f>Table1__2[[#This Row],[Fuel and light]]</f>
        <v>123.7</v>
      </c>
      <c r="AG98">
        <f>Table1__2[[#This Row],[Transport and communication]]</f>
        <v>113.8</v>
      </c>
      <c r="AH9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866.3</v>
      </c>
      <c r="AI98">
        <f>Table1__2[[#This Row],[Miscellaneous]]+Table1__2[[#This Row],[Pan, tobacco and intoxicants]]</f>
        <v>249.8</v>
      </c>
      <c r="AJ98" s="1">
        <f>Table1__2[[#This Row],[Housing]]+Table1__2[[#This Row],[Household goods and services]]</f>
        <v>263.76</v>
      </c>
    </row>
    <row r="99" spans="1:36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1664.8</v>
      </c>
      <c r="AF99">
        <f>Table1__2[[#This Row],[Fuel and light]]</f>
        <v>115.1</v>
      </c>
      <c r="AG99">
        <f>Table1__2[[#This Row],[Transport and communication]]</f>
        <v>109.1</v>
      </c>
      <c r="AH9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839.6</v>
      </c>
      <c r="AI99">
        <f>Table1__2[[#This Row],[Miscellaneous]]+Table1__2[[#This Row],[Pan, tobacco and intoxicants]]</f>
        <v>250.89999999999998</v>
      </c>
      <c r="AJ99" s="1">
        <f>Table1__2[[#This Row],[Housing]]+Table1__2[[#This Row],[Household goods and services]]</f>
        <v>242</v>
      </c>
    </row>
    <row r="100" spans="1:36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1658.3000000000002</v>
      </c>
      <c r="AF100">
        <f>Table1__2[[#This Row],[Fuel and light]]</f>
        <v>120.4</v>
      </c>
      <c r="AG100">
        <f>Table1__2[[#This Row],[Transport and communication]]</f>
        <v>111.3</v>
      </c>
      <c r="AH10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855.7</v>
      </c>
      <c r="AI100">
        <f>Table1__2[[#This Row],[Miscellaneous]]+Table1__2[[#This Row],[Pan, tobacco and intoxicants]]</f>
        <v>249.5</v>
      </c>
      <c r="AJ100" s="1">
        <f>Table1__2[[#This Row],[Housing]]+Table1__2[[#This Row],[Household goods and services]]</f>
        <v>244.2</v>
      </c>
    </row>
    <row r="101" spans="1:36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s="62">
        <v>139.26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1674.6</v>
      </c>
      <c r="AF101">
        <f>Table1__2[[#This Row],[Fuel and light]]</f>
        <v>124.4</v>
      </c>
      <c r="AG101">
        <f>Table1__2[[#This Row],[Transport and communication]]</f>
        <v>113.8</v>
      </c>
      <c r="AH10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870.4</v>
      </c>
      <c r="AI101">
        <f>Table1__2[[#This Row],[Miscellaneous]]+Table1__2[[#This Row],[Pan, tobacco and intoxicants]]</f>
        <v>250.7</v>
      </c>
      <c r="AJ101" s="1">
        <f>Table1__2[[#This Row],[Housing]]+Table1__2[[#This Row],[Household goods and services]]</f>
        <v>264.36</v>
      </c>
    </row>
    <row r="102" spans="1:36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1692.8000000000002</v>
      </c>
      <c r="AF102">
        <f>Table1__2[[#This Row],[Fuel and light]]</f>
        <v>114.9</v>
      </c>
      <c r="AG102">
        <f>Table1__2[[#This Row],[Transport and communication]]</f>
        <v>109.3</v>
      </c>
      <c r="AH10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842.19999999999993</v>
      </c>
      <c r="AI102">
        <f>Table1__2[[#This Row],[Miscellaneous]]+Table1__2[[#This Row],[Pan, tobacco and intoxicants]]</f>
        <v>251.8</v>
      </c>
      <c r="AJ102" s="1">
        <f>Table1__2[[#This Row],[Housing]]+Table1__2[[#This Row],[Household goods and services]]</f>
        <v>243.10000000000002</v>
      </c>
    </row>
    <row r="103" spans="1:36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1678.9999999999998</v>
      </c>
      <c r="AF103">
        <f>Table1__2[[#This Row],[Fuel and light]]</f>
        <v>120.8</v>
      </c>
      <c r="AG103">
        <f>Table1__2[[#This Row],[Transport and communication]]</f>
        <v>111.4</v>
      </c>
      <c r="AH10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859</v>
      </c>
      <c r="AI103">
        <f>Table1__2[[#This Row],[Miscellaneous]]+Table1__2[[#This Row],[Pan, tobacco and intoxicants]]</f>
        <v>250.4</v>
      </c>
      <c r="AJ103" s="1">
        <f>Table1__2[[#This Row],[Housing]]+Table1__2[[#This Row],[Household goods and services]]</f>
        <v>245.4</v>
      </c>
    </row>
    <row r="104" spans="1:36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s="62">
        <v>139.26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1686.3</v>
      </c>
      <c r="AF104">
        <f>Table1__2[[#This Row],[Fuel and light]]</f>
        <v>125.6</v>
      </c>
      <c r="AG104">
        <f>Table1__2[[#This Row],[Transport and communication]]</f>
        <v>114</v>
      </c>
      <c r="AH10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875.3</v>
      </c>
      <c r="AI104">
        <f>Table1__2[[#This Row],[Miscellaneous]]+Table1__2[[#This Row],[Pan, tobacco and intoxicants]]</f>
        <v>251.79999999999998</v>
      </c>
      <c r="AJ104" s="1">
        <f>Table1__2[[#This Row],[Housing]]+Table1__2[[#This Row],[Household goods and services]]</f>
        <v>264.86</v>
      </c>
    </row>
    <row r="105" spans="1:36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1708.4999999999998</v>
      </c>
      <c r="AF105">
        <f>Table1__2[[#This Row],[Fuel and light]]</f>
        <v>115.1</v>
      </c>
      <c r="AG105">
        <f>Table1__2[[#This Row],[Transport and communication]]</f>
        <v>109.3</v>
      </c>
      <c r="AH10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844.4</v>
      </c>
      <c r="AI105">
        <f>Table1__2[[#This Row],[Miscellaneous]]+Table1__2[[#This Row],[Pan, tobacco and intoxicants]]</f>
        <v>254.2</v>
      </c>
      <c r="AJ105" s="1">
        <f>Table1__2[[#This Row],[Housing]]+Table1__2[[#This Row],[Household goods and services]]</f>
        <v>243.9</v>
      </c>
    </row>
    <row r="106" spans="1:36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1692.1</v>
      </c>
      <c r="AF106">
        <f>Table1__2[[#This Row],[Fuel and light]]</f>
        <v>121.6</v>
      </c>
      <c r="AG106">
        <f>Table1__2[[#This Row],[Transport and communication]]</f>
        <v>111.5</v>
      </c>
      <c r="AH10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862.59999999999991</v>
      </c>
      <c r="AI106">
        <f>Table1__2[[#This Row],[Miscellaneous]]+Table1__2[[#This Row],[Pan, tobacco and intoxicants]]</f>
        <v>251.7</v>
      </c>
      <c r="AJ106" s="1">
        <f>Table1__2[[#This Row],[Housing]]+Table1__2[[#This Row],[Household goods and services]]</f>
        <v>246.3</v>
      </c>
    </row>
    <row r="107" spans="1:36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s="62">
        <v>139.26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1682.3000000000002</v>
      </c>
      <c r="AF107">
        <f>Table1__2[[#This Row],[Fuel and light]]</f>
        <v>125.7</v>
      </c>
      <c r="AG107">
        <f>Table1__2[[#This Row],[Transport and communication]]</f>
        <v>114</v>
      </c>
      <c r="AH10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877.30000000000007</v>
      </c>
      <c r="AI107">
        <f>Table1__2[[#This Row],[Miscellaneous]]+Table1__2[[#This Row],[Pan, tobacco and intoxicants]]</f>
        <v>252.89999999999998</v>
      </c>
      <c r="AJ107" s="1">
        <f>Table1__2[[#This Row],[Housing]]+Table1__2[[#This Row],[Household goods and services]]</f>
        <v>265.26</v>
      </c>
    </row>
    <row r="108" spans="1:36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1698.8</v>
      </c>
      <c r="AF108">
        <f>Table1__2[[#This Row],[Fuel and light]]</f>
        <v>116</v>
      </c>
      <c r="AG108">
        <f>Table1__2[[#This Row],[Transport and communication]]</f>
        <v>109.3</v>
      </c>
      <c r="AH10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845.9</v>
      </c>
      <c r="AI108">
        <f>Table1__2[[#This Row],[Miscellaneous]]+Table1__2[[#This Row],[Pan, tobacco and intoxicants]]</f>
        <v>254.89999999999998</v>
      </c>
      <c r="AJ108" s="1">
        <f>Table1__2[[#This Row],[Housing]]+Table1__2[[#This Row],[Household goods and services]]</f>
        <v>243.4</v>
      </c>
    </row>
    <row r="109" spans="1:36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1686.1000000000001</v>
      </c>
      <c r="AF109">
        <f>Table1__2[[#This Row],[Fuel and light]]</f>
        <v>122</v>
      </c>
      <c r="AG109">
        <f>Table1__2[[#This Row],[Transport and communication]]</f>
        <v>111.5</v>
      </c>
      <c r="AH10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864.40000000000009</v>
      </c>
      <c r="AI109">
        <f>Table1__2[[#This Row],[Miscellaneous]]+Table1__2[[#This Row],[Pan, tobacco and intoxicants]]</f>
        <v>252.8</v>
      </c>
      <c r="AJ109" s="1">
        <f>Table1__2[[#This Row],[Housing]]+Table1__2[[#This Row],[Household goods and services]]</f>
        <v>246</v>
      </c>
    </row>
    <row r="110" spans="1:36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s="62">
        <v>139.26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1690.1000000000001</v>
      </c>
      <c r="AF110">
        <f>Table1__2[[#This Row],[Fuel and light]]</f>
        <v>126.2</v>
      </c>
      <c r="AG110">
        <f>Table1__2[[#This Row],[Transport and communication]]</f>
        <v>113.6</v>
      </c>
      <c r="AH11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880.9</v>
      </c>
      <c r="AI110">
        <f>Table1__2[[#This Row],[Miscellaneous]]+Table1__2[[#This Row],[Pan, tobacco and intoxicants]]</f>
        <v>253.7</v>
      </c>
      <c r="AJ110" s="1">
        <f>Table1__2[[#This Row],[Housing]]+Table1__2[[#This Row],[Household goods and services]]</f>
        <v>265.86</v>
      </c>
    </row>
    <row r="111" spans="1:36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1701.4</v>
      </c>
      <c r="AF111">
        <f>Table1__2[[#This Row],[Fuel and light]]</f>
        <v>116.9</v>
      </c>
      <c r="AG111">
        <f>Table1__2[[#This Row],[Transport and communication]]</f>
        <v>108.9</v>
      </c>
      <c r="AH11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848.49999999999989</v>
      </c>
      <c r="AI111">
        <f>Table1__2[[#This Row],[Miscellaneous]]+Table1__2[[#This Row],[Pan, tobacco and intoxicants]]</f>
        <v>256.3</v>
      </c>
      <c r="AJ111" s="1">
        <f>Table1__2[[#This Row],[Housing]]+Table1__2[[#This Row],[Household goods and services]]</f>
        <v>245</v>
      </c>
    </row>
    <row r="112" spans="1:36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1691.7</v>
      </c>
      <c r="AF112">
        <f>Table1__2[[#This Row],[Fuel and light]]</f>
        <v>122.7</v>
      </c>
      <c r="AG112">
        <f>Table1__2[[#This Row],[Transport and communication]]</f>
        <v>111.1</v>
      </c>
      <c r="AH11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867.5</v>
      </c>
      <c r="AI112">
        <f>Table1__2[[#This Row],[Miscellaneous]]+Table1__2[[#This Row],[Pan, tobacco and intoxicants]]</f>
        <v>253.7</v>
      </c>
      <c r="AJ112" s="1">
        <f>Table1__2[[#This Row],[Housing]]+Table1__2[[#This Row],[Household goods and services]]</f>
        <v>247.60000000000002</v>
      </c>
    </row>
    <row r="113" spans="1:36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s="62">
        <v>139.26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1682.6</v>
      </c>
      <c r="AF113">
        <f>Table1__2[[#This Row],[Fuel and light]]</f>
        <v>127.5</v>
      </c>
      <c r="AG113">
        <f>Table1__2[[#This Row],[Transport and communication]]</f>
        <v>113.9</v>
      </c>
      <c r="AH11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887.6</v>
      </c>
      <c r="AI113">
        <f>Table1__2[[#This Row],[Miscellaneous]]+Table1__2[[#This Row],[Pan, tobacco and intoxicants]]</f>
        <v>255.3</v>
      </c>
      <c r="AJ113" s="1">
        <f>Table1__2[[#This Row],[Housing]]+Table1__2[[#This Row],[Household goods and services]]</f>
        <v>266.36</v>
      </c>
    </row>
    <row r="114" spans="1:36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1676.1</v>
      </c>
      <c r="AF114">
        <f>Table1__2[[#This Row],[Fuel and light]]</f>
        <v>116</v>
      </c>
      <c r="AG114">
        <f>Table1__2[[#This Row],[Transport and communication]]</f>
        <v>109.1</v>
      </c>
      <c r="AH11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852.4</v>
      </c>
      <c r="AI114">
        <f>Table1__2[[#This Row],[Miscellaneous]]+Table1__2[[#This Row],[Pan, tobacco and intoxicants]]</f>
        <v>257.2</v>
      </c>
      <c r="AJ114" s="1">
        <f>Table1__2[[#This Row],[Housing]]+Table1__2[[#This Row],[Household goods and services]]</f>
        <v>246.2</v>
      </c>
    </row>
    <row r="115" spans="1:36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1678.1</v>
      </c>
      <c r="AF115">
        <f>Table1__2[[#This Row],[Fuel and light]]</f>
        <v>123.1</v>
      </c>
      <c r="AG115">
        <f>Table1__2[[#This Row],[Transport and communication]]</f>
        <v>111.4</v>
      </c>
      <c r="AH11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872.9</v>
      </c>
      <c r="AI115">
        <f>Table1__2[[#This Row],[Miscellaneous]]+Table1__2[[#This Row],[Pan, tobacco and intoxicants]]</f>
        <v>255</v>
      </c>
      <c r="AJ115" s="1">
        <f>Table1__2[[#This Row],[Housing]]+Table1__2[[#This Row],[Household goods and services]]</f>
        <v>249</v>
      </c>
    </row>
    <row r="116" spans="1:36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s="62">
        <v>139.26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1682.7000000000003</v>
      </c>
      <c r="AF116">
        <f>Table1__2[[#This Row],[Fuel and light]]</f>
        <v>127</v>
      </c>
      <c r="AG116">
        <f>Table1__2[[#This Row],[Transport and communication]]</f>
        <v>113.6</v>
      </c>
      <c r="AH11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890.60000000000014</v>
      </c>
      <c r="AI116">
        <f>Table1__2[[#This Row],[Miscellaneous]]+Table1__2[[#This Row],[Pan, tobacco and intoxicants]]</f>
        <v>256.10000000000002</v>
      </c>
      <c r="AJ116" s="1">
        <f>Table1__2[[#This Row],[Housing]]+Table1__2[[#This Row],[Household goods and services]]</f>
        <v>266.95999999999998</v>
      </c>
    </row>
    <row r="117" spans="1:36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1667.6000000000001</v>
      </c>
      <c r="AF117">
        <f>Table1__2[[#This Row],[Fuel and light]]</f>
        <v>114.8</v>
      </c>
      <c r="AG117">
        <f>Table1__2[[#This Row],[Transport and communication]]</f>
        <v>108.5</v>
      </c>
      <c r="AH11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854.49999999999989</v>
      </c>
      <c r="AI117">
        <f>Table1__2[[#This Row],[Miscellaneous]]+Table1__2[[#This Row],[Pan, tobacco and intoxicants]]</f>
        <v>257.89999999999998</v>
      </c>
      <c r="AJ117" s="1">
        <f>Table1__2[[#This Row],[Housing]]+Table1__2[[#This Row],[Household goods and services]]</f>
        <v>247.2</v>
      </c>
    </row>
    <row r="118" spans="1:36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1675.2</v>
      </c>
      <c r="AF118">
        <f>Table1__2[[#This Row],[Fuel and light]]</f>
        <v>122.4</v>
      </c>
      <c r="AG118">
        <f>Table1__2[[#This Row],[Transport and communication]]</f>
        <v>110.9</v>
      </c>
      <c r="AH11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875.59999999999991</v>
      </c>
      <c r="AI118">
        <f>Table1__2[[#This Row],[Miscellaneous]]+Table1__2[[#This Row],[Pan, tobacco and intoxicants]]</f>
        <v>255.8</v>
      </c>
      <c r="AJ118" s="1">
        <f>Table1__2[[#This Row],[Housing]]+Table1__2[[#This Row],[Household goods and services]]</f>
        <v>250</v>
      </c>
    </row>
    <row r="119" spans="1:36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s="62">
        <v>139.26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1701.6000000000004</v>
      </c>
      <c r="AF119">
        <f>Table1__2[[#This Row],[Fuel and light]]</f>
        <v>127</v>
      </c>
      <c r="AG119">
        <f>Table1__2[[#This Row],[Transport and communication]]</f>
        <v>114.4</v>
      </c>
      <c r="AH11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894.7</v>
      </c>
      <c r="AI119">
        <f>Table1__2[[#This Row],[Miscellaneous]]+Table1__2[[#This Row],[Pan, tobacco and intoxicants]]</f>
        <v>257.2</v>
      </c>
      <c r="AJ119" s="1">
        <f>Table1__2[[#This Row],[Housing]]+Table1__2[[#This Row],[Household goods and services]]</f>
        <v>267.26</v>
      </c>
    </row>
    <row r="120" spans="1:36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1706.3</v>
      </c>
      <c r="AF120">
        <f>Table1__2[[#This Row],[Fuel and light]]</f>
        <v>114.6</v>
      </c>
      <c r="AG120">
        <f>Table1__2[[#This Row],[Transport and communication]]</f>
        <v>110</v>
      </c>
      <c r="AH12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857.8</v>
      </c>
      <c r="AI120">
        <f>Table1__2[[#This Row],[Miscellaneous]]+Table1__2[[#This Row],[Pan, tobacco and intoxicants]]</f>
        <v>259.7</v>
      </c>
      <c r="AJ120" s="1">
        <f>Table1__2[[#This Row],[Housing]]+Table1__2[[#This Row],[Household goods and services]]</f>
        <v>248.39999999999998</v>
      </c>
    </row>
    <row r="121" spans="1:36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1701.3</v>
      </c>
      <c r="AF121">
        <f>Table1__2[[#This Row],[Fuel and light]]</f>
        <v>122.3</v>
      </c>
      <c r="AG121">
        <f>Table1__2[[#This Row],[Transport and communication]]</f>
        <v>112.1</v>
      </c>
      <c r="AH12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879.30000000000007</v>
      </c>
      <c r="AI121">
        <f>Table1__2[[#This Row],[Miscellaneous]]+Table1__2[[#This Row],[Pan, tobacco and intoxicants]]</f>
        <v>257.10000000000002</v>
      </c>
      <c r="AJ121" s="1">
        <f>Table1__2[[#This Row],[Housing]]+Table1__2[[#This Row],[Household goods and services]]</f>
        <v>251.1</v>
      </c>
    </row>
    <row r="122" spans="1:36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s="62">
        <v>139.26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1723.6999999999998</v>
      </c>
      <c r="AF122">
        <f>Table1__2[[#This Row],[Fuel and light]]</f>
        <v>127.4</v>
      </c>
      <c r="AG122">
        <f>Table1__2[[#This Row],[Transport and communication]]</f>
        <v>115.1</v>
      </c>
      <c r="AH12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899.50000000000011</v>
      </c>
      <c r="AI122">
        <f>Table1__2[[#This Row],[Miscellaneous]]+Table1__2[[#This Row],[Pan, tobacco and intoxicants]]</f>
        <v>258.5</v>
      </c>
      <c r="AJ122" s="1">
        <f>Table1__2[[#This Row],[Housing]]+Table1__2[[#This Row],[Household goods and services]]</f>
        <v>267.76</v>
      </c>
    </row>
    <row r="123" spans="1:36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1746.7999999999997</v>
      </c>
      <c r="AF123">
        <f>Table1__2[[#This Row],[Fuel and light]]</f>
        <v>115</v>
      </c>
      <c r="AG123">
        <f>Table1__2[[#This Row],[Transport and communication]]</f>
        <v>110.7</v>
      </c>
      <c r="AH12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860.7</v>
      </c>
      <c r="AI123">
        <f>Table1__2[[#This Row],[Miscellaneous]]+Table1__2[[#This Row],[Pan, tobacco and intoxicants]]</f>
        <v>260.89999999999998</v>
      </c>
      <c r="AJ123" s="1">
        <f>Table1__2[[#This Row],[Housing]]+Table1__2[[#This Row],[Household goods and services]]</f>
        <v>249.2</v>
      </c>
    </row>
    <row r="124" spans="1:36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1730.4</v>
      </c>
      <c r="AF124">
        <f>Table1__2[[#This Row],[Fuel and light]]</f>
        <v>122.7</v>
      </c>
      <c r="AG124">
        <f>Table1__2[[#This Row],[Transport and communication]]</f>
        <v>112.8</v>
      </c>
      <c r="AH12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883.3</v>
      </c>
      <c r="AI124">
        <f>Table1__2[[#This Row],[Miscellaneous]]+Table1__2[[#This Row],[Pan, tobacco and intoxicants]]</f>
        <v>258.39999999999998</v>
      </c>
      <c r="AJ124" s="1">
        <f>Table1__2[[#This Row],[Housing]]+Table1__2[[#This Row],[Household goods and services]]</f>
        <v>252</v>
      </c>
    </row>
    <row r="125" spans="1:36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s="62">
        <v>139.26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1748.6</v>
      </c>
      <c r="AF125">
        <f>Table1__2[[#This Row],[Fuel and light]]</f>
        <v>128</v>
      </c>
      <c r="AG125">
        <f>Table1__2[[#This Row],[Transport and communication]]</f>
        <v>116.3</v>
      </c>
      <c r="AH12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903.90000000000009</v>
      </c>
      <c r="AI125">
        <f>Table1__2[[#This Row],[Miscellaneous]]+Table1__2[[#This Row],[Pan, tobacco and intoxicants]]</f>
        <v>260.5</v>
      </c>
      <c r="AJ125" s="1">
        <f>Table1__2[[#This Row],[Housing]]+Table1__2[[#This Row],[Household goods and services]]</f>
        <v>268.56</v>
      </c>
    </row>
    <row r="126" spans="1:36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1787.0000000000002</v>
      </c>
      <c r="AF126">
        <f>Table1__2[[#This Row],[Fuel and light]]</f>
        <v>115.5</v>
      </c>
      <c r="AG126">
        <f>Table1__2[[#This Row],[Transport and communication]]</f>
        <v>112.3</v>
      </c>
      <c r="AH12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863.90000000000009</v>
      </c>
      <c r="AI126">
        <f>Table1__2[[#This Row],[Miscellaneous]]+Table1__2[[#This Row],[Pan, tobacco and intoxicants]]</f>
        <v>262.29999999999995</v>
      </c>
      <c r="AJ126" s="1">
        <f>Table1__2[[#This Row],[Housing]]+Table1__2[[#This Row],[Household goods and services]]</f>
        <v>248.7</v>
      </c>
    </row>
    <row r="127" spans="1:36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1760.6</v>
      </c>
      <c r="AF127">
        <f>Table1__2[[#This Row],[Fuel and light]]</f>
        <v>123.3</v>
      </c>
      <c r="AG127">
        <f>Table1__2[[#This Row],[Transport and communication]]</f>
        <v>114.2</v>
      </c>
      <c r="AH12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887</v>
      </c>
      <c r="AI127">
        <f>Table1__2[[#This Row],[Miscellaneous]]+Table1__2[[#This Row],[Pan, tobacco and intoxicants]]</f>
        <v>260.2</v>
      </c>
      <c r="AJ127" s="1">
        <f>Table1__2[[#This Row],[Housing]]+Table1__2[[#This Row],[Household goods and services]]</f>
        <v>251.9</v>
      </c>
    </row>
    <row r="128" spans="1:36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s="62">
        <v>139.26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1770.2999999999997</v>
      </c>
      <c r="AF128">
        <f>Table1__2[[#This Row],[Fuel and light]]</f>
        <v>128.19999999999999</v>
      </c>
      <c r="AG128">
        <f>Table1__2[[#This Row],[Transport and communication]]</f>
        <v>116.4</v>
      </c>
      <c r="AH12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909.5</v>
      </c>
      <c r="AI128">
        <f>Table1__2[[#This Row],[Miscellaneous]]+Table1__2[[#This Row],[Pan, tobacco and intoxicants]]</f>
        <v>261.8</v>
      </c>
      <c r="AJ128" s="1">
        <f>Table1__2[[#This Row],[Housing]]+Table1__2[[#This Row],[Household goods and services]]</f>
        <v>269.26</v>
      </c>
    </row>
    <row r="129" spans="1:36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1811.5000000000002</v>
      </c>
      <c r="AF129">
        <f>Table1__2[[#This Row],[Fuel and light]]</f>
        <v>115.5</v>
      </c>
      <c r="AG129">
        <f>Table1__2[[#This Row],[Transport and communication]]</f>
        <v>111.7</v>
      </c>
      <c r="AH12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867.90000000000009</v>
      </c>
      <c r="AI129">
        <f>Table1__2[[#This Row],[Miscellaneous]]+Table1__2[[#This Row],[Pan, tobacco and intoxicants]]</f>
        <v>262.8</v>
      </c>
      <c r="AJ129" s="1">
        <f>Table1__2[[#This Row],[Housing]]+Table1__2[[#This Row],[Household goods and services]]</f>
        <v>249.9</v>
      </c>
    </row>
    <row r="130" spans="1:36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1783.5</v>
      </c>
      <c r="AF130">
        <f>Table1__2[[#This Row],[Fuel and light]]</f>
        <v>123.4</v>
      </c>
      <c r="AG130">
        <f>Table1__2[[#This Row],[Transport and communication]]</f>
        <v>113.9</v>
      </c>
      <c r="AH13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892</v>
      </c>
      <c r="AI130">
        <f>Table1__2[[#This Row],[Miscellaneous]]+Table1__2[[#This Row],[Pan, tobacco and intoxicants]]</f>
        <v>261.20000000000005</v>
      </c>
      <c r="AJ130" s="1">
        <f>Table1__2[[#This Row],[Housing]]+Table1__2[[#This Row],[Household goods and services]]</f>
        <v>253.3</v>
      </c>
    </row>
    <row r="131" spans="1:36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s="62">
        <v>139.26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1777.4999999999998</v>
      </c>
      <c r="AF131">
        <f>Table1__2[[#This Row],[Fuel and light]]</f>
        <v>129.1</v>
      </c>
      <c r="AG131">
        <f>Table1__2[[#This Row],[Transport and communication]]</f>
        <v>116</v>
      </c>
      <c r="AH13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914.30000000000007</v>
      </c>
      <c r="AI131">
        <f>Table1__2[[#This Row],[Miscellaneous]]+Table1__2[[#This Row],[Pan, tobacco and intoxicants]]</f>
        <v>263.10000000000002</v>
      </c>
      <c r="AJ131" s="1">
        <f>Table1__2[[#This Row],[Housing]]+Table1__2[[#This Row],[Household goods and services]]</f>
        <v>269.86</v>
      </c>
    </row>
    <row r="132" spans="1:36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1783.9999999999995</v>
      </c>
      <c r="AF132">
        <f>Table1__2[[#This Row],[Fuel and light]]</f>
        <v>114.7</v>
      </c>
      <c r="AG132">
        <f>Table1__2[[#This Row],[Transport and communication]]</f>
        <v>110.4</v>
      </c>
      <c r="AH13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871.19999999999993</v>
      </c>
      <c r="AI132">
        <f>Table1__2[[#This Row],[Miscellaneous]]+Table1__2[[#This Row],[Pan, tobacco and intoxicants]]</f>
        <v>263.5</v>
      </c>
      <c r="AJ132" s="1">
        <f>Table1__2[[#This Row],[Housing]]+Table1__2[[#This Row],[Household goods and services]]</f>
        <v>251.2</v>
      </c>
    </row>
    <row r="133" spans="1:36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1777.9</v>
      </c>
      <c r="AF133">
        <f>Table1__2[[#This Row],[Fuel and light]]</f>
        <v>123.6</v>
      </c>
      <c r="AG133">
        <f>Table1__2[[#This Row],[Transport and communication]]</f>
        <v>113.1</v>
      </c>
      <c r="AH13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896.2</v>
      </c>
      <c r="AI133">
        <f>Table1__2[[#This Row],[Miscellaneous]]+Table1__2[[#This Row],[Pan, tobacco and intoxicants]]</f>
        <v>262.29999999999995</v>
      </c>
      <c r="AJ133" s="1">
        <f>Table1__2[[#This Row],[Housing]]+Table1__2[[#This Row],[Household goods and services]]</f>
        <v>254.7</v>
      </c>
    </row>
    <row r="134" spans="1:36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s="62">
        <v>139.26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1770.7</v>
      </c>
      <c r="AF134">
        <f>Table1__2[[#This Row],[Fuel and light]]</f>
        <v>129.69999999999999</v>
      </c>
      <c r="AG134">
        <f>Table1__2[[#This Row],[Transport and communication]]</f>
        <v>117</v>
      </c>
      <c r="AH13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918.3</v>
      </c>
      <c r="AI134">
        <f>Table1__2[[#This Row],[Miscellaneous]]+Table1__2[[#This Row],[Pan, tobacco and intoxicants]]</f>
        <v>264.8</v>
      </c>
      <c r="AJ134" s="1">
        <f>Table1__2[[#This Row],[Housing]]+Table1__2[[#This Row],[Household goods and services]]</f>
        <v>270.36</v>
      </c>
    </row>
    <row r="135" spans="1:36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1756.3999999999996</v>
      </c>
      <c r="AF135">
        <f>Table1__2[[#This Row],[Fuel and light]]</f>
        <v>114.8</v>
      </c>
      <c r="AG135">
        <f>Table1__2[[#This Row],[Transport and communication]]</f>
        <v>111.8</v>
      </c>
      <c r="AH13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873</v>
      </c>
      <c r="AI135">
        <f>Table1__2[[#This Row],[Miscellaneous]]+Table1__2[[#This Row],[Pan, tobacco and intoxicants]]</f>
        <v>264.39999999999998</v>
      </c>
      <c r="AJ135" s="1">
        <f>Table1__2[[#This Row],[Housing]]+Table1__2[[#This Row],[Household goods and services]]</f>
        <v>252.2</v>
      </c>
    </row>
    <row r="136" spans="1:36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1763.6999999999998</v>
      </c>
      <c r="AF136">
        <f>Table1__2[[#This Row],[Fuel and light]]</f>
        <v>124.1</v>
      </c>
      <c r="AG136">
        <f>Table1__2[[#This Row],[Transport and communication]]</f>
        <v>114.3</v>
      </c>
      <c r="AH13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899.2</v>
      </c>
      <c r="AI136">
        <f>Table1__2[[#This Row],[Miscellaneous]]+Table1__2[[#This Row],[Pan, tobacco and intoxicants]]</f>
        <v>263.8</v>
      </c>
      <c r="AJ136" s="1">
        <f>Table1__2[[#This Row],[Housing]]+Table1__2[[#This Row],[Household goods and services]]</f>
        <v>255.8</v>
      </c>
    </row>
    <row r="137" spans="1:36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s="62">
        <v>139.26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1771.8000000000002</v>
      </c>
      <c r="AF137">
        <f>Table1__2[[#This Row],[Fuel and light]]</f>
        <v>129.80000000000001</v>
      </c>
      <c r="AG137">
        <f>Table1__2[[#This Row],[Transport and communication]]</f>
        <v>117.8</v>
      </c>
      <c r="AH13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923.90000000000009</v>
      </c>
      <c r="AI137">
        <f>Table1__2[[#This Row],[Miscellaneous]]+Table1__2[[#This Row],[Pan, tobacco and intoxicants]]</f>
        <v>266.60000000000002</v>
      </c>
      <c r="AJ137" s="1">
        <f>Table1__2[[#This Row],[Housing]]+Table1__2[[#This Row],[Household goods and services]]</f>
        <v>271.06</v>
      </c>
    </row>
    <row r="138" spans="1:36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1762.8999999999999</v>
      </c>
      <c r="AF138">
        <f>Table1__2[[#This Row],[Fuel and light]]</f>
        <v>115.2</v>
      </c>
      <c r="AG138">
        <f>Table1__2[[#This Row],[Transport and communication]]</f>
        <v>112.8</v>
      </c>
      <c r="AH13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874.69999999999993</v>
      </c>
      <c r="AI138">
        <f>Table1__2[[#This Row],[Miscellaneous]]+Table1__2[[#This Row],[Pan, tobacco and intoxicants]]</f>
        <v>265.20000000000005</v>
      </c>
      <c r="AJ138" s="1">
        <f>Table1__2[[#This Row],[Housing]]+Table1__2[[#This Row],[Household goods and services]]</f>
        <v>253.2</v>
      </c>
    </row>
    <row r="139" spans="1:36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1766.7999999999995</v>
      </c>
      <c r="AF139">
        <f>Table1__2[[#This Row],[Fuel and light]]</f>
        <v>124.3</v>
      </c>
      <c r="AG139">
        <f>Table1__2[[#This Row],[Transport and communication]]</f>
        <v>115.2</v>
      </c>
      <c r="AH13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903.2</v>
      </c>
      <c r="AI139">
        <f>Table1__2[[#This Row],[Miscellaneous]]+Table1__2[[#This Row],[Pan, tobacco and intoxicants]]</f>
        <v>265.20000000000005</v>
      </c>
      <c r="AJ139" s="1">
        <f>Table1__2[[#This Row],[Housing]]+Table1__2[[#This Row],[Household goods and services]]</f>
        <v>257.10000000000002</v>
      </c>
    </row>
    <row r="140" spans="1:36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s="62">
        <v>139.26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1764.6</v>
      </c>
      <c r="AF140">
        <f>Table1__2[[#This Row],[Fuel and light]]</f>
        <v>130.30000000000001</v>
      </c>
      <c r="AG140">
        <f>Table1__2[[#This Row],[Transport and communication]]</f>
        <v>118.2</v>
      </c>
      <c r="AH14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926.8</v>
      </c>
      <c r="AI140">
        <f>Table1__2[[#This Row],[Miscellaneous]]+Table1__2[[#This Row],[Pan, tobacco and intoxicants]]</f>
        <v>267.29999999999995</v>
      </c>
      <c r="AJ140" s="1">
        <f>Table1__2[[#This Row],[Housing]]+Table1__2[[#This Row],[Household goods and services]]</f>
        <v>271.36</v>
      </c>
    </row>
    <row r="141" spans="1:36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1755.2</v>
      </c>
      <c r="AF141">
        <f>Table1__2[[#This Row],[Fuel and light]]</f>
        <v>116.2</v>
      </c>
      <c r="AG141">
        <f>Table1__2[[#This Row],[Transport and communication]]</f>
        <v>113.4</v>
      </c>
      <c r="AH14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877.40000000000009</v>
      </c>
      <c r="AI141">
        <f>Table1__2[[#This Row],[Miscellaneous]]+Table1__2[[#This Row],[Pan, tobacco and intoxicants]]</f>
        <v>265.60000000000002</v>
      </c>
      <c r="AJ141" s="1">
        <f>Table1__2[[#This Row],[Housing]]+Table1__2[[#This Row],[Household goods and services]]</f>
        <v>253.8</v>
      </c>
    </row>
    <row r="142" spans="1:36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1759.8</v>
      </c>
      <c r="AF142">
        <f>Table1__2[[#This Row],[Fuel and light]]</f>
        <v>125</v>
      </c>
      <c r="AG142">
        <f>Table1__2[[#This Row],[Transport and communication]]</f>
        <v>115.7</v>
      </c>
      <c r="AH14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905.89999999999986</v>
      </c>
      <c r="AI142">
        <f>Table1__2[[#This Row],[Miscellaneous]]+Table1__2[[#This Row],[Pan, tobacco and intoxicants]]</f>
        <v>265.8</v>
      </c>
      <c r="AJ142" s="1">
        <f>Table1__2[[#This Row],[Housing]]+Table1__2[[#This Row],[Household goods and services]]</f>
        <v>257.7</v>
      </c>
    </row>
    <row r="143" spans="1:36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s="62">
        <v>139.26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1749.1</v>
      </c>
      <c r="AF143">
        <f>Table1__2[[#This Row],[Fuel and light]]</f>
        <v>132</v>
      </c>
      <c r="AG143">
        <f>Table1__2[[#This Row],[Transport and communication]]</f>
        <v>118.6</v>
      </c>
      <c r="AH14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928.39999999999986</v>
      </c>
      <c r="AI143">
        <f>Table1__2[[#This Row],[Miscellaneous]]+Table1__2[[#This Row],[Pan, tobacco and intoxicants]]</f>
        <v>268.7</v>
      </c>
      <c r="AJ143" s="1">
        <f>Table1__2[[#This Row],[Housing]]+Table1__2[[#This Row],[Household goods and services]]</f>
        <v>272.15999999999997</v>
      </c>
    </row>
    <row r="144" spans="1:36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1729.8</v>
      </c>
      <c r="AF144">
        <f>Table1__2[[#This Row],[Fuel and light]]</f>
        <v>117.8</v>
      </c>
      <c r="AG144">
        <f>Table1__2[[#This Row],[Transport and communication]]</f>
        <v>113.7</v>
      </c>
      <c r="AH14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877.3</v>
      </c>
      <c r="AI144">
        <f>Table1__2[[#This Row],[Miscellaneous]]+Table1__2[[#This Row],[Pan, tobacco and intoxicants]]</f>
        <v>266.39999999999998</v>
      </c>
      <c r="AJ144" s="1">
        <f>Table1__2[[#This Row],[Housing]]+Table1__2[[#This Row],[Household goods and services]]</f>
        <v>253.5</v>
      </c>
    </row>
    <row r="145" spans="1:36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1740.7</v>
      </c>
      <c r="AF145">
        <f>Table1__2[[#This Row],[Fuel and light]]</f>
        <v>126.6</v>
      </c>
      <c r="AG145">
        <f>Table1__2[[#This Row],[Transport and communication]]</f>
        <v>116</v>
      </c>
      <c r="AH14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906.80000000000007</v>
      </c>
      <c r="AI145">
        <f>Table1__2[[#This Row],[Miscellaneous]]+Table1__2[[#This Row],[Pan, tobacco and intoxicants]]</f>
        <v>267</v>
      </c>
      <c r="AJ145" s="1">
        <f>Table1__2[[#This Row],[Housing]]+Table1__2[[#This Row],[Household goods and services]]</f>
        <v>257.7</v>
      </c>
    </row>
    <row r="146" spans="1:36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s="62">
        <v>139.26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1737.3000000000002</v>
      </c>
      <c r="AF146">
        <f>Table1__2[[#This Row],[Fuel and light]]</f>
        <v>132.1</v>
      </c>
      <c r="AG146">
        <f>Table1__2[[#This Row],[Transport and communication]]</f>
        <v>119.1</v>
      </c>
      <c r="AH14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930.30000000000007</v>
      </c>
      <c r="AI146">
        <f>Table1__2[[#This Row],[Miscellaneous]]+Table1__2[[#This Row],[Pan, tobacco and intoxicants]]</f>
        <v>269.7</v>
      </c>
      <c r="AJ146" s="1">
        <f>Table1__2[[#This Row],[Housing]]+Table1__2[[#This Row],[Household goods and services]]</f>
        <v>272.45999999999998</v>
      </c>
    </row>
    <row r="147" spans="1:36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1713.2</v>
      </c>
      <c r="AF147">
        <f>Table1__2[[#This Row],[Fuel and light]]</f>
        <v>118</v>
      </c>
      <c r="AG147">
        <f>Table1__2[[#This Row],[Transport and communication]]</f>
        <v>115.2</v>
      </c>
      <c r="AH14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879.4</v>
      </c>
      <c r="AI147">
        <f>Table1__2[[#This Row],[Miscellaneous]]+Table1__2[[#This Row],[Pan, tobacco and intoxicants]]</f>
        <v>267.7</v>
      </c>
      <c r="AJ147" s="1">
        <f>Table1__2[[#This Row],[Housing]]+Table1__2[[#This Row],[Household goods and services]]</f>
        <v>254.7</v>
      </c>
    </row>
    <row r="148" spans="1:36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1727.2999999999995</v>
      </c>
      <c r="AF148">
        <f>Table1__2[[#This Row],[Fuel and light]]</f>
        <v>126.8</v>
      </c>
      <c r="AG148">
        <f>Table1__2[[#This Row],[Transport and communication]]</f>
        <v>117</v>
      </c>
      <c r="AH14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908.7</v>
      </c>
      <c r="AI148">
        <f>Table1__2[[#This Row],[Miscellaneous]]+Table1__2[[#This Row],[Pan, tobacco and intoxicants]]</f>
        <v>268.20000000000005</v>
      </c>
      <c r="AJ148" s="1">
        <f>Table1__2[[#This Row],[Housing]]+Table1__2[[#This Row],[Household goods and services]]</f>
        <v>259</v>
      </c>
    </row>
    <row r="149" spans="1:36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s="62">
        <v>139.26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1734.5000000000002</v>
      </c>
      <c r="AF149">
        <f>Table1__2[[#This Row],[Fuel and light]]</f>
        <v>133.19999999999999</v>
      </c>
      <c r="AG149">
        <f>Table1__2[[#This Row],[Transport and communication]]</f>
        <v>119.5</v>
      </c>
      <c r="AH14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932.80000000000007</v>
      </c>
      <c r="AI149">
        <f>Table1__2[[#This Row],[Miscellaneous]]+Table1__2[[#This Row],[Pan, tobacco and intoxicants]]</f>
        <v>270.7</v>
      </c>
      <c r="AJ149" s="1">
        <f>Table1__2[[#This Row],[Housing]]+Table1__2[[#This Row],[Household goods and services]]</f>
        <v>272.86</v>
      </c>
    </row>
    <row r="150" spans="1:36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1705.3000000000002</v>
      </c>
      <c r="AF150">
        <f>Table1__2[[#This Row],[Fuel and light]]</f>
        <v>119.2</v>
      </c>
      <c r="AG150">
        <f>Table1__2[[#This Row],[Transport and communication]]</f>
        <v>115.5</v>
      </c>
      <c r="AH15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881.5</v>
      </c>
      <c r="AI150">
        <f>Table1__2[[#This Row],[Miscellaneous]]+Table1__2[[#This Row],[Pan, tobacco and intoxicants]]</f>
        <v>268.70000000000005</v>
      </c>
      <c r="AJ150" s="1">
        <f>Table1__2[[#This Row],[Housing]]+Table1__2[[#This Row],[Household goods and services]]</f>
        <v>255.8</v>
      </c>
    </row>
    <row r="151" spans="1:36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1722.3000000000002</v>
      </c>
      <c r="AF151">
        <f>Table1__2[[#This Row],[Fuel and light]]</f>
        <v>127.9</v>
      </c>
      <c r="AG151">
        <f>Table1__2[[#This Row],[Transport and communication]]</f>
        <v>117.4</v>
      </c>
      <c r="AH15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910.99999999999989</v>
      </c>
      <c r="AI151">
        <f>Table1__2[[#This Row],[Miscellaneous]]+Table1__2[[#This Row],[Pan, tobacco and intoxicants]]</f>
        <v>269.2</v>
      </c>
      <c r="AJ151" s="1">
        <f>Table1__2[[#This Row],[Housing]]+Table1__2[[#This Row],[Household goods and services]]</f>
        <v>260.2</v>
      </c>
    </row>
    <row r="152" spans="1:36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s="62">
        <v>139.26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1728.5000000000002</v>
      </c>
      <c r="AF152">
        <f>Table1__2[[#This Row],[Fuel and light]]</f>
        <v>134.19999999999999</v>
      </c>
      <c r="AG152">
        <f>Table1__2[[#This Row],[Transport and communication]]</f>
        <v>119.8</v>
      </c>
      <c r="AH15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936</v>
      </c>
      <c r="AI152">
        <f>Table1__2[[#This Row],[Miscellaneous]]+Table1__2[[#This Row],[Pan, tobacco and intoxicants]]</f>
        <v>271.60000000000002</v>
      </c>
      <c r="AJ152" s="1">
        <f>Table1__2[[#This Row],[Housing]]+Table1__2[[#This Row],[Household goods and services]]</f>
        <v>273.36</v>
      </c>
    </row>
    <row r="153" spans="1:36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1705.6999999999998</v>
      </c>
      <c r="AF153">
        <f>Table1__2[[#This Row],[Fuel and light]]</f>
        <v>120.8</v>
      </c>
      <c r="AG153">
        <f>Table1__2[[#This Row],[Transport and communication]]</f>
        <v>115.6</v>
      </c>
      <c r="AH15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883.2</v>
      </c>
      <c r="AI153">
        <f>Table1__2[[#This Row],[Miscellaneous]]+Table1__2[[#This Row],[Pan, tobacco and intoxicants]]</f>
        <v>270.10000000000002</v>
      </c>
      <c r="AJ153" s="1">
        <f>Table1__2[[#This Row],[Housing]]+Table1__2[[#This Row],[Household goods and services]]</f>
        <v>256.7</v>
      </c>
    </row>
    <row r="154" spans="1:36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1718.9</v>
      </c>
      <c r="AF154">
        <f>Table1__2[[#This Row],[Fuel and light]]</f>
        <v>129.1</v>
      </c>
      <c r="AG154">
        <f>Table1__2[[#This Row],[Transport and communication]]</f>
        <v>117.6</v>
      </c>
      <c r="AH15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913.5</v>
      </c>
      <c r="AI154">
        <f>Table1__2[[#This Row],[Miscellaneous]]+Table1__2[[#This Row],[Pan, tobacco and intoxicants]]</f>
        <v>270.2</v>
      </c>
      <c r="AJ154" s="1">
        <f>Table1__2[[#This Row],[Housing]]+Table1__2[[#This Row],[Household goods and services]]</f>
        <v>261.2</v>
      </c>
    </row>
    <row r="155" spans="1:36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s="62">
        <v>139.26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1726.3</v>
      </c>
      <c r="AF155">
        <f>Table1__2[[#This Row],[Fuel and light]]</f>
        <v>135</v>
      </c>
      <c r="AG155">
        <f>Table1__2[[#This Row],[Transport and communication]]</f>
        <v>119.2</v>
      </c>
      <c r="AH15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939.5</v>
      </c>
      <c r="AI155">
        <f>Table1__2[[#This Row],[Miscellaneous]]+Table1__2[[#This Row],[Pan, tobacco and intoxicants]]</f>
        <v>271.89999999999998</v>
      </c>
      <c r="AJ155" s="1">
        <f>Table1__2[[#This Row],[Housing]]+Table1__2[[#This Row],[Household goods and services]]</f>
        <v>273.56</v>
      </c>
    </row>
    <row r="156" spans="1:36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1708.1</v>
      </c>
      <c r="AF156">
        <f>Table1__2[[#This Row],[Fuel and light]]</f>
        <v>121.4</v>
      </c>
      <c r="AG156">
        <f>Table1__2[[#This Row],[Transport and communication]]</f>
        <v>114.3</v>
      </c>
      <c r="AH15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886.00000000000011</v>
      </c>
      <c r="AI156">
        <f>Table1__2[[#This Row],[Miscellaneous]]+Table1__2[[#This Row],[Pan, tobacco and intoxicants]]</f>
        <v>270.5</v>
      </c>
      <c r="AJ156" s="1">
        <f>Table1__2[[#This Row],[Housing]]+Table1__2[[#This Row],[Household goods and services]]</f>
        <v>257.7</v>
      </c>
    </row>
    <row r="157" spans="1:36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1718.4</v>
      </c>
      <c r="AF157">
        <f>Table1__2[[#This Row],[Fuel and light]]</f>
        <v>129.80000000000001</v>
      </c>
      <c r="AG157">
        <f>Table1__2[[#This Row],[Transport and communication]]</f>
        <v>116.6</v>
      </c>
      <c r="AH15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916.9</v>
      </c>
      <c r="AI157">
        <f>Table1__2[[#This Row],[Miscellaneous]]+Table1__2[[#This Row],[Pan, tobacco and intoxicants]]</f>
        <v>270.5</v>
      </c>
      <c r="AJ157" s="1">
        <f>Table1__2[[#This Row],[Housing]]+Table1__2[[#This Row],[Household goods and services]]</f>
        <v>262.10000000000002</v>
      </c>
    </row>
    <row r="158" spans="1:36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s="62">
        <v>139.26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1727.4999999999995</v>
      </c>
      <c r="AF158">
        <f>Table1__2[[#This Row],[Fuel and light]]</f>
        <v>135</v>
      </c>
      <c r="AG158">
        <f>Table1__2[[#This Row],[Transport and communication]]</f>
        <v>119.4</v>
      </c>
      <c r="AH15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942.40000000000009</v>
      </c>
      <c r="AI158">
        <f>Table1__2[[#This Row],[Miscellaneous]]+Table1__2[[#This Row],[Pan, tobacco and intoxicants]]</f>
        <v>273.39999999999998</v>
      </c>
      <c r="AJ158" s="1">
        <f>Table1__2[[#This Row],[Housing]]+Table1__2[[#This Row],[Household goods and services]]</f>
        <v>274.15999999999997</v>
      </c>
    </row>
    <row r="159" spans="1:36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1709.6</v>
      </c>
      <c r="AF159">
        <f>Table1__2[[#This Row],[Fuel and light]]</f>
        <v>120.1</v>
      </c>
      <c r="AG159">
        <f>Table1__2[[#This Row],[Transport and communication]]</f>
        <v>114.3</v>
      </c>
      <c r="AH15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887.10000000000014</v>
      </c>
      <c r="AI159">
        <f>Table1__2[[#This Row],[Miscellaneous]]+Table1__2[[#This Row],[Pan, tobacco and intoxicants]]</f>
        <v>270.89999999999998</v>
      </c>
      <c r="AJ159" s="1">
        <f>Table1__2[[#This Row],[Housing]]+Table1__2[[#This Row],[Household goods and services]]</f>
        <v>258.60000000000002</v>
      </c>
    </row>
    <row r="160" spans="1:36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1719.6000000000001</v>
      </c>
      <c r="AF160">
        <f>Table1__2[[#This Row],[Fuel and light]]</f>
        <v>129.4</v>
      </c>
      <c r="AG160">
        <f>Table1__2[[#This Row],[Transport and communication]]</f>
        <v>116.7</v>
      </c>
      <c r="AH16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918.7</v>
      </c>
      <c r="AI160">
        <f>Table1__2[[#This Row],[Miscellaneous]]+Table1__2[[#This Row],[Pan, tobacco and intoxicants]]</f>
        <v>271.5</v>
      </c>
      <c r="AJ160" s="1">
        <f>Table1__2[[#This Row],[Housing]]+Table1__2[[#This Row],[Household goods and services]]</f>
        <v>263</v>
      </c>
    </row>
    <row r="161" spans="1:36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s="62">
        <v>139.26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1738.8000000000002</v>
      </c>
      <c r="AF161">
        <f>Table1__2[[#This Row],[Fuel and light]]</f>
        <v>134.80000000000001</v>
      </c>
      <c r="AG161">
        <f>Table1__2[[#This Row],[Transport and communication]]</f>
        <v>119.4</v>
      </c>
      <c r="AH16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945.19999999999993</v>
      </c>
      <c r="AI161">
        <f>Table1__2[[#This Row],[Miscellaneous]]+Table1__2[[#This Row],[Pan, tobacco and intoxicants]]</f>
        <v>273.89999999999998</v>
      </c>
      <c r="AJ161" s="1">
        <f>Table1__2[[#This Row],[Housing]]+Table1__2[[#This Row],[Household goods and services]]</f>
        <v>274.45999999999998</v>
      </c>
    </row>
    <row r="162" spans="1:36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1731.0000000000002</v>
      </c>
      <c r="AF162">
        <f>Table1__2[[#This Row],[Fuel and light]]</f>
        <v>119</v>
      </c>
      <c r="AG162">
        <f>Table1__2[[#This Row],[Transport and communication]]</f>
        <v>113.9</v>
      </c>
      <c r="AH16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888.40000000000009</v>
      </c>
      <c r="AI162">
        <f>Table1__2[[#This Row],[Miscellaneous]]+Table1__2[[#This Row],[Pan, tobacco and intoxicants]]</f>
        <v>271.3</v>
      </c>
      <c r="AJ162" s="1">
        <f>Table1__2[[#This Row],[Housing]]+Table1__2[[#This Row],[Household goods and services]]</f>
        <v>258.2</v>
      </c>
    </row>
    <row r="163" spans="1:36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1734.7</v>
      </c>
      <c r="AF163">
        <f>Table1__2[[#This Row],[Fuel and light]]</f>
        <v>128.80000000000001</v>
      </c>
      <c r="AG163">
        <f>Table1__2[[#This Row],[Transport and communication]]</f>
        <v>116.5</v>
      </c>
      <c r="AH16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920.9</v>
      </c>
      <c r="AI163">
        <f>Table1__2[[#This Row],[Miscellaneous]]+Table1__2[[#This Row],[Pan, tobacco and intoxicants]]</f>
        <v>272</v>
      </c>
      <c r="AJ163" s="1">
        <f>Table1__2[[#This Row],[Housing]]+Table1__2[[#This Row],[Household goods and services]]</f>
        <v>262.60000000000002</v>
      </c>
    </row>
    <row r="164" spans="1:36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s="62">
        <v>139.26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1772.9</v>
      </c>
      <c r="AF164">
        <f>Table1__2[[#This Row],[Fuel and light]]</f>
        <v>135.30000000000001</v>
      </c>
      <c r="AG164">
        <f>Table1__2[[#This Row],[Transport and communication]]</f>
        <v>119.1</v>
      </c>
      <c r="AH16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951.60000000000014</v>
      </c>
      <c r="AI164">
        <f>Table1__2[[#This Row],[Miscellaneous]]+Table1__2[[#This Row],[Pan, tobacco and intoxicants]]</f>
        <v>276</v>
      </c>
      <c r="AJ164" s="1">
        <f>Table1__2[[#This Row],[Housing]]+Table1__2[[#This Row],[Household goods and services]]</f>
        <v>275.36</v>
      </c>
    </row>
    <row r="165" spans="1:36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1768.1</v>
      </c>
      <c r="AF165">
        <f>Table1__2[[#This Row],[Fuel and light]]</f>
        <v>119.7</v>
      </c>
      <c r="AG165">
        <f>Table1__2[[#This Row],[Transport and communication]]</f>
        <v>113.2</v>
      </c>
      <c r="AH16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892.1</v>
      </c>
      <c r="AI165">
        <f>Table1__2[[#This Row],[Miscellaneous]]+Table1__2[[#This Row],[Pan, tobacco and intoxicants]]</f>
        <v>273.5</v>
      </c>
      <c r="AJ165" s="1">
        <f>Table1__2[[#This Row],[Housing]]+Table1__2[[#This Row],[Household goods and services]]</f>
        <v>259.8</v>
      </c>
    </row>
    <row r="166" spans="1:36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1769.3999999999999</v>
      </c>
      <c r="AF166">
        <f>Table1__2[[#This Row],[Fuel and light]]</f>
        <v>129.4</v>
      </c>
      <c r="AG166">
        <f>Table1__2[[#This Row],[Transport and communication]]</f>
        <v>116</v>
      </c>
      <c r="AH16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926.10000000000014</v>
      </c>
      <c r="AI166">
        <f>Table1__2[[#This Row],[Miscellaneous]]+Table1__2[[#This Row],[Pan, tobacco and intoxicants]]</f>
        <v>274.10000000000002</v>
      </c>
      <c r="AJ166" s="1">
        <f>Table1__2[[#This Row],[Housing]]+Table1__2[[#This Row],[Household goods and services]]</f>
        <v>264.5</v>
      </c>
    </row>
    <row r="167" spans="1:36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s="62">
        <v>139.26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1792.4999999999998</v>
      </c>
      <c r="AF167">
        <f>Table1__2[[#This Row],[Fuel and light]]</f>
        <v>136.4</v>
      </c>
      <c r="AG167">
        <f>Table1__2[[#This Row],[Transport and communication]]</f>
        <v>120.3</v>
      </c>
      <c r="AH16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959.10000000000014</v>
      </c>
      <c r="AI167">
        <f>Table1__2[[#This Row],[Miscellaneous]]+Table1__2[[#This Row],[Pan, tobacco and intoxicants]]</f>
        <v>278.7</v>
      </c>
      <c r="AJ167" s="1">
        <f>Table1__2[[#This Row],[Housing]]+Table1__2[[#This Row],[Household goods and services]]</f>
        <v>276.56</v>
      </c>
    </row>
    <row r="168" spans="1:36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1772.9999999999998</v>
      </c>
      <c r="AF168">
        <f>Table1__2[[#This Row],[Fuel and light]]</f>
        <v>118.9</v>
      </c>
      <c r="AG168">
        <f>Table1__2[[#This Row],[Transport and communication]]</f>
        <v>114.6</v>
      </c>
      <c r="AH16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897.19999999999982</v>
      </c>
      <c r="AI168">
        <f>Table1__2[[#This Row],[Miscellaneous]]+Table1__2[[#This Row],[Pan, tobacco and intoxicants]]</f>
        <v>275.89999999999998</v>
      </c>
      <c r="AJ168" s="1">
        <f>Table1__2[[#This Row],[Housing]]+Table1__2[[#This Row],[Household goods and services]]</f>
        <v>262.10000000000002</v>
      </c>
    </row>
    <row r="169" spans="1:36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1783.8</v>
      </c>
      <c r="AF169">
        <f>Table1__2[[#This Row],[Fuel and light]]</f>
        <v>129.80000000000001</v>
      </c>
      <c r="AG169">
        <f>Table1__2[[#This Row],[Transport and communication]]</f>
        <v>117.3</v>
      </c>
      <c r="AH16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932.19999999999993</v>
      </c>
      <c r="AI169">
        <f>Table1__2[[#This Row],[Miscellaneous]]+Table1__2[[#This Row],[Pan, tobacco and intoxicants]]</f>
        <v>276.60000000000002</v>
      </c>
      <c r="AJ169" s="1">
        <f>Table1__2[[#This Row],[Housing]]+Table1__2[[#This Row],[Household goods and services]]</f>
        <v>267.20000000000005</v>
      </c>
    </row>
    <row r="170" spans="1:36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s="62">
        <v>139.26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1784.3</v>
      </c>
      <c r="AF170">
        <f>Table1__2[[#This Row],[Fuel and light]]</f>
        <v>137.4</v>
      </c>
      <c r="AG170">
        <f>Table1__2[[#This Row],[Transport and communication]]</f>
        <v>121.2</v>
      </c>
      <c r="AH17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963.00000000000011</v>
      </c>
      <c r="AI170">
        <f>Table1__2[[#This Row],[Miscellaneous]]+Table1__2[[#This Row],[Pan, tobacco and intoxicants]]</f>
        <v>280.10000000000002</v>
      </c>
      <c r="AJ170" s="1">
        <f>Table1__2[[#This Row],[Housing]]+Table1__2[[#This Row],[Household goods and services]]</f>
        <v>277.15999999999997</v>
      </c>
    </row>
    <row r="171" spans="1:36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1749.7</v>
      </c>
      <c r="AF171">
        <f>Table1__2[[#This Row],[Fuel and light]]</f>
        <v>120.6</v>
      </c>
      <c r="AG171">
        <f>Table1__2[[#This Row],[Transport and communication]]</f>
        <v>115.7</v>
      </c>
      <c r="AH17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900.8</v>
      </c>
      <c r="AI171">
        <f>Table1__2[[#This Row],[Miscellaneous]]+Table1__2[[#This Row],[Pan, tobacco and intoxicants]]</f>
        <v>278.10000000000002</v>
      </c>
      <c r="AJ171" s="1">
        <f>Table1__2[[#This Row],[Housing]]+Table1__2[[#This Row],[Household goods and services]]</f>
        <v>263.79999999999995</v>
      </c>
    </row>
    <row r="172" spans="1:36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1769.9999999999998</v>
      </c>
      <c r="AF172">
        <f>Table1__2[[#This Row],[Fuel and light]]</f>
        <v>131</v>
      </c>
      <c r="AG172">
        <f>Table1__2[[#This Row],[Transport and communication]]</f>
        <v>118.3</v>
      </c>
      <c r="AH17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936.1</v>
      </c>
      <c r="AI172">
        <f>Table1__2[[#This Row],[Miscellaneous]]+Table1__2[[#This Row],[Pan, tobacco and intoxicants]]</f>
        <v>278.3</v>
      </c>
      <c r="AJ172" s="1">
        <f>Table1__2[[#This Row],[Housing]]+Table1__2[[#This Row],[Household goods and services]]</f>
        <v>269</v>
      </c>
    </row>
    <row r="173" spans="1:36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s="62">
        <v>139.26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1790.8999999999999</v>
      </c>
      <c r="AF173">
        <f>Table1__2[[#This Row],[Fuel and light]]</f>
        <v>138.1</v>
      </c>
      <c r="AG173">
        <f>Table1__2[[#This Row],[Transport and communication]]</f>
        <v>121</v>
      </c>
      <c r="AH17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968.7</v>
      </c>
      <c r="AI173">
        <f>Table1__2[[#This Row],[Miscellaneous]]+Table1__2[[#This Row],[Pan, tobacco and intoxicants]]</f>
        <v>281.2</v>
      </c>
      <c r="AJ173" s="1">
        <f>Table1__2[[#This Row],[Housing]]+Table1__2[[#This Row],[Household goods and services]]</f>
        <v>277.65999999999997</v>
      </c>
    </row>
    <row r="174" spans="1:36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1765.6999999999998</v>
      </c>
      <c r="AF174">
        <f>Table1__2[[#This Row],[Fuel and light]]</f>
        <v>122.6</v>
      </c>
      <c r="AG174">
        <f>Table1__2[[#This Row],[Transport and communication]]</f>
        <v>115</v>
      </c>
      <c r="AH17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903.8</v>
      </c>
      <c r="AI174">
        <f>Table1__2[[#This Row],[Miscellaneous]]+Table1__2[[#This Row],[Pan, tobacco and intoxicants]]</f>
        <v>279.10000000000002</v>
      </c>
      <c r="AJ174" s="1">
        <f>Table1__2[[#This Row],[Housing]]+Table1__2[[#This Row],[Household goods and services]]</f>
        <v>265.60000000000002</v>
      </c>
    </row>
    <row r="175" spans="1:36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1779.6999999999998</v>
      </c>
      <c r="AF175">
        <f>Table1__2[[#This Row],[Fuel and light]]</f>
        <v>132.19999999999999</v>
      </c>
      <c r="AG175">
        <f>Table1__2[[#This Row],[Transport and communication]]</f>
        <v>117.8</v>
      </c>
      <c r="AH17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940.7</v>
      </c>
      <c r="AI175">
        <f>Table1__2[[#This Row],[Miscellaneous]]+Table1__2[[#This Row],[Pan, tobacco and intoxicants]]</f>
        <v>279.3</v>
      </c>
      <c r="AJ175" s="1">
        <f>Table1__2[[#This Row],[Housing]]+Table1__2[[#This Row],[Household goods and services]]</f>
        <v>270.89999999999998</v>
      </c>
    </row>
    <row r="176" spans="1:36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s="62">
        <v>139.26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1817.7000000000003</v>
      </c>
      <c r="AF176">
        <f>Table1__2[[#This Row],[Fuel and light]]</f>
        <v>141.1</v>
      </c>
      <c r="AG176">
        <f>Table1__2[[#This Row],[Transport and communication]]</f>
        <v>121.6</v>
      </c>
      <c r="AH17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976.09999999999991</v>
      </c>
      <c r="AI176">
        <f>Table1__2[[#This Row],[Miscellaneous]]+Table1__2[[#This Row],[Pan, tobacco and intoxicants]]</f>
        <v>283.79999999999995</v>
      </c>
      <c r="AJ176" s="1">
        <f>Table1__2[[#This Row],[Housing]]+Table1__2[[#This Row],[Household goods and services]]</f>
        <v>278.65999999999997</v>
      </c>
    </row>
    <row r="177" spans="1:36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1796.7</v>
      </c>
      <c r="AF177">
        <f>Table1__2[[#This Row],[Fuel and light]]</f>
        <v>125.7</v>
      </c>
      <c r="AG177">
        <f>Table1__2[[#This Row],[Transport and communication]]</f>
        <v>115.3</v>
      </c>
      <c r="AH17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907.9</v>
      </c>
      <c r="AI177">
        <f>Table1__2[[#This Row],[Miscellaneous]]+Table1__2[[#This Row],[Pan, tobacco and intoxicants]]</f>
        <v>281.10000000000002</v>
      </c>
      <c r="AJ177" s="1">
        <f>Table1__2[[#This Row],[Housing]]+Table1__2[[#This Row],[Household goods and services]]</f>
        <v>267.39999999999998</v>
      </c>
    </row>
    <row r="178" spans="1:36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1808.2</v>
      </c>
      <c r="AF178">
        <f>Table1__2[[#This Row],[Fuel and light]]</f>
        <v>135.30000000000001</v>
      </c>
      <c r="AG178">
        <f>Table1__2[[#This Row],[Transport and communication]]</f>
        <v>118.3</v>
      </c>
      <c r="AH17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946.50000000000011</v>
      </c>
      <c r="AI178">
        <f>Table1__2[[#This Row],[Miscellaneous]]+Table1__2[[#This Row],[Pan, tobacco and intoxicants]]</f>
        <v>281.60000000000002</v>
      </c>
      <c r="AJ178" s="1">
        <f>Table1__2[[#This Row],[Housing]]+Table1__2[[#This Row],[Household goods and services]]</f>
        <v>273</v>
      </c>
    </row>
    <row r="179" spans="1:36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s="62">
        <v>139.26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1813.6000000000001</v>
      </c>
      <c r="AF179">
        <f>Table1__2[[#This Row],[Fuel and light]]</f>
        <v>142.6</v>
      </c>
      <c r="AG179">
        <f>Table1__2[[#This Row],[Transport and communication]]</f>
        <v>122</v>
      </c>
      <c r="AH17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975.5</v>
      </c>
      <c r="AI179">
        <f>Table1__2[[#This Row],[Miscellaneous]]+Table1__2[[#This Row],[Pan, tobacco and intoxicants]]</f>
        <v>285.10000000000002</v>
      </c>
      <c r="AJ179" s="1">
        <f>Table1__2[[#This Row],[Housing]]+Table1__2[[#This Row],[Household goods and services]]</f>
        <v>278.76</v>
      </c>
    </row>
    <row r="180" spans="1:36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1767.5</v>
      </c>
      <c r="AF180">
        <f>Table1__2[[#This Row],[Fuel and light]]</f>
        <v>126.8</v>
      </c>
      <c r="AG180">
        <f>Table1__2[[#This Row],[Transport and communication]]</f>
        <v>115.3</v>
      </c>
      <c r="AH18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910.3</v>
      </c>
      <c r="AI180">
        <f>Table1__2[[#This Row],[Miscellaneous]]+Table1__2[[#This Row],[Pan, tobacco and intoxicants]]</f>
        <v>282.10000000000002</v>
      </c>
      <c r="AJ180" s="1">
        <f>Table1__2[[#This Row],[Housing]]+Table1__2[[#This Row],[Household goods and services]]</f>
        <v>268.39999999999998</v>
      </c>
    </row>
    <row r="181" spans="1:36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1794.9999999999998</v>
      </c>
      <c r="AF181">
        <f>Table1__2[[#This Row],[Fuel and light]]</f>
        <v>136.6</v>
      </c>
      <c r="AG181">
        <f>Table1__2[[#This Row],[Transport and communication]]</f>
        <v>118.5</v>
      </c>
      <c r="AH18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947.30000000000007</v>
      </c>
      <c r="AI181">
        <f>Table1__2[[#This Row],[Miscellaneous]]+Table1__2[[#This Row],[Pan, tobacco and intoxicants]]</f>
        <v>282.79999999999995</v>
      </c>
      <c r="AJ181" s="1">
        <f>Table1__2[[#This Row],[Housing]]+Table1__2[[#This Row],[Household goods and services]]</f>
        <v>273.79999999999995</v>
      </c>
    </row>
    <row r="182" spans="1:36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s="62">
        <v>139.26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1800.7</v>
      </c>
      <c r="AF182">
        <f>Table1__2[[#This Row],[Fuel and light]]</f>
        <v>142.30000000000001</v>
      </c>
      <c r="AG182">
        <f>Table1__2[[#This Row],[Transport and communication]]</f>
        <v>122.7</v>
      </c>
      <c r="AH18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978.6</v>
      </c>
      <c r="AI182">
        <f>Table1__2[[#This Row],[Miscellaneous]]+Table1__2[[#This Row],[Pan, tobacco and intoxicants]]</f>
        <v>285.89999999999998</v>
      </c>
      <c r="AJ182" s="1">
        <f>Table1__2[[#This Row],[Housing]]+Table1__2[[#This Row],[Household goods and services]]</f>
        <v>279.06</v>
      </c>
    </row>
    <row r="183" spans="1:36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1748.3000000000002</v>
      </c>
      <c r="AF183">
        <f>Table1__2[[#This Row],[Fuel and light]]</f>
        <v>127.3</v>
      </c>
      <c r="AG183">
        <f>Table1__2[[#This Row],[Transport and communication]]</f>
        <v>116.3</v>
      </c>
      <c r="AH18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914.1</v>
      </c>
      <c r="AI183">
        <f>Table1__2[[#This Row],[Miscellaneous]]+Table1__2[[#This Row],[Pan, tobacco and intoxicants]]</f>
        <v>283.5</v>
      </c>
      <c r="AJ183" s="1">
        <f>Table1__2[[#This Row],[Housing]]+Table1__2[[#This Row],[Household goods and services]]</f>
        <v>269.89999999999998</v>
      </c>
    </row>
    <row r="184" spans="1:36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1779.9</v>
      </c>
      <c r="AF184">
        <f>Table1__2[[#This Row],[Fuel and light]]</f>
        <v>136.6</v>
      </c>
      <c r="AG184">
        <f>Table1__2[[#This Row],[Transport and communication]]</f>
        <v>119.3</v>
      </c>
      <c r="AH18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950.6</v>
      </c>
      <c r="AI184">
        <f>Table1__2[[#This Row],[Miscellaneous]]+Table1__2[[#This Row],[Pan, tobacco and intoxicants]]</f>
        <v>283.79999999999995</v>
      </c>
      <c r="AJ184" s="1">
        <f>Table1__2[[#This Row],[Housing]]+Table1__2[[#This Row],[Household goods and services]]</f>
        <v>275.3</v>
      </c>
    </row>
    <row r="185" spans="1:36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s="62">
        <v>139.26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1781.5</v>
      </c>
      <c r="AF185">
        <f>Table1__2[[#This Row],[Fuel and light]]</f>
        <v>142.4</v>
      </c>
      <c r="AG185">
        <f>Table1__2[[#This Row],[Transport and communication]]</f>
        <v>123.3</v>
      </c>
      <c r="AH18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979.69999999999993</v>
      </c>
      <c r="AI185">
        <f>Table1__2[[#This Row],[Miscellaneous]]+Table1__2[[#This Row],[Pan, tobacco and intoxicants]]</f>
        <v>285.8</v>
      </c>
      <c r="AJ185" s="1">
        <f>Table1__2[[#This Row],[Housing]]+Table1__2[[#This Row],[Household goods and services]]</f>
        <v>279.15999999999997</v>
      </c>
    </row>
    <row r="186" spans="1:36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1727.9</v>
      </c>
      <c r="AF186">
        <f>Table1__2[[#This Row],[Fuel and light]]</f>
        <v>127.3</v>
      </c>
      <c r="AG186">
        <f>Table1__2[[#This Row],[Transport and communication]]</f>
        <v>117.4</v>
      </c>
      <c r="AH18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916.8</v>
      </c>
      <c r="AI186">
        <f>Table1__2[[#This Row],[Miscellaneous]]+Table1__2[[#This Row],[Pan, tobacco and intoxicants]]</f>
        <v>285.8</v>
      </c>
      <c r="AJ186" s="1">
        <f>Table1__2[[#This Row],[Housing]]+Table1__2[[#This Row],[Household goods and services]]</f>
        <v>271.20000000000005</v>
      </c>
    </row>
    <row r="187" spans="1:36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1760.3999999999996</v>
      </c>
      <c r="AF187">
        <f>Table1__2[[#This Row],[Fuel and light]]</f>
        <v>136.69999999999999</v>
      </c>
      <c r="AG187">
        <f>Table1__2[[#This Row],[Transport and communication]]</f>
        <v>120.2</v>
      </c>
      <c r="AH18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952.4</v>
      </c>
      <c r="AI187">
        <f>Table1__2[[#This Row],[Miscellaneous]]+Table1__2[[#This Row],[Pan, tobacco and intoxicants]]</f>
        <v>284.5</v>
      </c>
      <c r="AJ187" s="1">
        <f>Table1__2[[#This Row],[Housing]]+Table1__2[[#This Row],[Household goods and services]]</f>
        <v>276.5</v>
      </c>
    </row>
    <row r="188" spans="1:36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s="62">
        <v>139.26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1781.9999999999998</v>
      </c>
      <c r="AF188">
        <f>Table1__2[[#This Row],[Fuel and light]]</f>
        <v>142.6</v>
      </c>
      <c r="AG188">
        <f>Table1__2[[#This Row],[Transport and communication]]</f>
        <v>124.6</v>
      </c>
      <c r="AH18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984.3</v>
      </c>
      <c r="AI188">
        <f>Table1__2[[#This Row],[Miscellaneous]]+Table1__2[[#This Row],[Pan, tobacco and intoxicants]]</f>
        <v>288.39999999999998</v>
      </c>
      <c r="AJ188" s="1">
        <f>Table1__2[[#This Row],[Housing]]+Table1__2[[#This Row],[Household goods and services]]</f>
        <v>279.15999999999997</v>
      </c>
    </row>
    <row r="189" spans="1:36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1715.5</v>
      </c>
      <c r="AF189">
        <f>Table1__2[[#This Row],[Fuel and light]]</f>
        <v>126.4</v>
      </c>
      <c r="AG189">
        <f>Table1__2[[#This Row],[Transport and communication]]</f>
        <v>117.8</v>
      </c>
      <c r="AH18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920.40000000000009</v>
      </c>
      <c r="AI189">
        <f>Table1__2[[#This Row],[Miscellaneous]]+Table1__2[[#This Row],[Pan, tobacco and intoxicants]]</f>
        <v>286.79999999999995</v>
      </c>
      <c r="AJ189" s="1">
        <f>Table1__2[[#This Row],[Housing]]+Table1__2[[#This Row],[Household goods and services]]</f>
        <v>272.8</v>
      </c>
    </row>
    <row r="190" spans="1:36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1756</v>
      </c>
      <c r="AF190">
        <f>Table1__2[[#This Row],[Fuel and light]]</f>
        <v>136.5</v>
      </c>
      <c r="AG190">
        <f>Table1__2[[#This Row],[Transport and communication]]</f>
        <v>121</v>
      </c>
      <c r="AH19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956.3</v>
      </c>
      <c r="AI190">
        <f>Table1__2[[#This Row],[Miscellaneous]]+Table1__2[[#This Row],[Pan, tobacco and intoxicants]]</f>
        <v>286.60000000000002</v>
      </c>
      <c r="AJ190" s="1">
        <f>Table1__2[[#This Row],[Housing]]+Table1__2[[#This Row],[Household goods and services]]</f>
        <v>277.60000000000002</v>
      </c>
    </row>
    <row r="191" spans="1:36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s="62">
        <v>139.26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1780</v>
      </c>
      <c r="AF191">
        <f>Table1__2[[#This Row],[Fuel and light]]</f>
        <v>143.80000000000001</v>
      </c>
      <c r="AG191">
        <f>Table1__2[[#This Row],[Transport and communication]]</f>
        <v>125.3</v>
      </c>
      <c r="AH19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990.2</v>
      </c>
      <c r="AI191">
        <f>Table1__2[[#This Row],[Miscellaneous]]+Table1__2[[#This Row],[Pan, tobacco and intoxicants]]</f>
        <v>290.29999999999995</v>
      </c>
      <c r="AJ191" s="1">
        <f>Table1__2[[#This Row],[Housing]]+Table1__2[[#This Row],[Household goods and services]]</f>
        <v>280.15999999999997</v>
      </c>
    </row>
    <row r="192" spans="1:36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1720.0000000000002</v>
      </c>
      <c r="AF192">
        <f>Table1__2[[#This Row],[Fuel and light]]</f>
        <v>124.6</v>
      </c>
      <c r="AG192">
        <f>Table1__2[[#This Row],[Transport and communication]]</f>
        <v>118.9</v>
      </c>
      <c r="AH19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927.59999999999991</v>
      </c>
      <c r="AI192">
        <f>Table1__2[[#This Row],[Miscellaneous]]+Table1__2[[#This Row],[Pan, tobacco and intoxicants]]</f>
        <v>287.39999999999998</v>
      </c>
      <c r="AJ192" s="1">
        <f>Table1__2[[#This Row],[Housing]]+Table1__2[[#This Row],[Household goods and services]]</f>
        <v>274.70000000000005</v>
      </c>
    </row>
    <row r="193" spans="1:36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1757.1000000000001</v>
      </c>
      <c r="AF193">
        <f>Table1__2[[#This Row],[Fuel and light]]</f>
        <v>136.5</v>
      </c>
      <c r="AG193">
        <f>Table1__2[[#This Row],[Transport and communication]]</f>
        <v>121.9</v>
      </c>
      <c r="AH19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963.1</v>
      </c>
      <c r="AI193">
        <f>Table1__2[[#This Row],[Miscellaneous]]+Table1__2[[#This Row],[Pan, tobacco and intoxicants]]</f>
        <v>288.20000000000005</v>
      </c>
      <c r="AJ193" s="1">
        <f>Table1__2[[#This Row],[Housing]]+Table1__2[[#This Row],[Household goods and services]]</f>
        <v>279.5</v>
      </c>
    </row>
    <row r="194" spans="1:36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s="62">
        <v>139.26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1782.4</v>
      </c>
      <c r="AF194">
        <f>Table1__2[[#This Row],[Fuel and light]]</f>
        <v>144.30000000000001</v>
      </c>
      <c r="AG194">
        <f>Table1__2[[#This Row],[Transport and communication]]</f>
        <v>126.4</v>
      </c>
      <c r="AH19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995.5</v>
      </c>
      <c r="AI194">
        <f>Table1__2[[#This Row],[Miscellaneous]]+Table1__2[[#This Row],[Pan, tobacco and intoxicants]]</f>
        <v>292.10000000000002</v>
      </c>
      <c r="AJ194" s="1">
        <f>Table1__2[[#This Row],[Housing]]+Table1__2[[#This Row],[Household goods and services]]</f>
        <v>281.06</v>
      </c>
    </row>
    <row r="195" spans="1:36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1722.8999999999999</v>
      </c>
      <c r="AF195">
        <f>Table1__2[[#This Row],[Fuel and light]]</f>
        <v>124.7</v>
      </c>
      <c r="AG195">
        <f>Table1__2[[#This Row],[Transport and communication]]</f>
        <v>119.8</v>
      </c>
      <c r="AH19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932</v>
      </c>
      <c r="AI195">
        <f>Table1__2[[#This Row],[Miscellaneous]]+Table1__2[[#This Row],[Pan, tobacco and intoxicants]]</f>
        <v>289.20000000000005</v>
      </c>
      <c r="AJ195" s="1">
        <f>Table1__2[[#This Row],[Housing]]+Table1__2[[#This Row],[Household goods and services]]</f>
        <v>275.7</v>
      </c>
    </row>
    <row r="196" spans="1:36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1759.8</v>
      </c>
      <c r="AF196">
        <f>Table1__2[[#This Row],[Fuel and light]]</f>
        <v>136.9</v>
      </c>
      <c r="AG196">
        <f>Table1__2[[#This Row],[Transport and communication]]</f>
        <v>122.9</v>
      </c>
      <c r="AH19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967.90000000000009</v>
      </c>
      <c r="AI196">
        <f>Table1__2[[#This Row],[Miscellaneous]]+Table1__2[[#This Row],[Pan, tobacco and intoxicants]]</f>
        <v>290</v>
      </c>
      <c r="AJ196" s="1">
        <f>Table1__2[[#This Row],[Housing]]+Table1__2[[#This Row],[Household goods and services]]</f>
        <v>280.60000000000002</v>
      </c>
    </row>
    <row r="197" spans="1:36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s="62">
        <v>139.26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1790.2999999999997</v>
      </c>
      <c r="AF197">
        <f>Table1__2[[#This Row],[Fuel and light]]</f>
        <v>145.1</v>
      </c>
      <c r="AG197">
        <f>Table1__2[[#This Row],[Transport and communication]]</f>
        <v>127.4</v>
      </c>
      <c r="AH19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999.00000000000011</v>
      </c>
      <c r="AI197">
        <f>Table1__2[[#This Row],[Miscellaneous]]+Table1__2[[#This Row],[Pan, tobacco and intoxicants]]</f>
        <v>292.89999999999998</v>
      </c>
      <c r="AJ197" s="1">
        <f>Table1__2[[#This Row],[Housing]]+Table1__2[[#This Row],[Household goods and services]]</f>
        <v>281.45999999999998</v>
      </c>
    </row>
    <row r="198" spans="1:36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1747.3000000000002</v>
      </c>
      <c r="AF198">
        <f>Table1__2[[#This Row],[Fuel and light]]</f>
        <v>126.5</v>
      </c>
      <c r="AG198">
        <f>Table1__2[[#This Row],[Transport and communication]]</f>
        <v>120.4</v>
      </c>
      <c r="AH19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935.5</v>
      </c>
      <c r="AI198">
        <f>Table1__2[[#This Row],[Miscellaneous]]+Table1__2[[#This Row],[Pan, tobacco and intoxicants]]</f>
        <v>290.5</v>
      </c>
      <c r="AJ198" s="1">
        <f>Table1__2[[#This Row],[Housing]]+Table1__2[[#This Row],[Household goods and services]]</f>
        <v>275.60000000000002</v>
      </c>
    </row>
    <row r="199" spans="1:36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1774.1000000000001</v>
      </c>
      <c r="AF199">
        <f>Table1__2[[#This Row],[Fuel and light]]</f>
        <v>138.1</v>
      </c>
      <c r="AG199">
        <f>Table1__2[[#This Row],[Transport and communication]]</f>
        <v>123.7</v>
      </c>
      <c r="AH19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971.39999999999986</v>
      </c>
      <c r="AI199">
        <f>Table1__2[[#This Row],[Miscellaneous]]+Table1__2[[#This Row],[Pan, tobacco and intoxicants]]</f>
        <v>290.89999999999998</v>
      </c>
      <c r="AJ199" s="1">
        <f>Table1__2[[#This Row],[Housing]]+Table1__2[[#This Row],[Household goods and services]]</f>
        <v>280.39999999999998</v>
      </c>
    </row>
    <row r="200" spans="1:36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s="62">
        <v>139.26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1810.5000000000002</v>
      </c>
      <c r="AF200">
        <f>Table1__2[[#This Row],[Fuel and light]]</f>
        <v>146.80000000000001</v>
      </c>
      <c r="AG200">
        <f>Table1__2[[#This Row],[Transport and communication]]</f>
        <v>127.5</v>
      </c>
      <c r="AH20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1001.8</v>
      </c>
      <c r="AI200">
        <f>Table1__2[[#This Row],[Miscellaneous]]+Table1__2[[#This Row],[Pan, tobacco and intoxicants]]</f>
        <v>292.10000000000002</v>
      </c>
      <c r="AJ200" s="1">
        <f>Table1__2[[#This Row],[Housing]]+Table1__2[[#This Row],[Household goods and services]]</f>
        <v>282.36</v>
      </c>
    </row>
    <row r="201" spans="1:36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1771.1</v>
      </c>
      <c r="AF201">
        <f>Table1__2[[#This Row],[Fuel and light]]</f>
        <v>128.1</v>
      </c>
      <c r="AG201">
        <f>Table1__2[[#This Row],[Transport and communication]]</f>
        <v>120.1</v>
      </c>
      <c r="AH20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941.2</v>
      </c>
      <c r="AI201">
        <f>Table1__2[[#This Row],[Miscellaneous]]+Table1__2[[#This Row],[Pan, tobacco and intoxicants]]</f>
        <v>291.60000000000002</v>
      </c>
      <c r="AJ201" s="1">
        <f>Table1__2[[#This Row],[Housing]]+Table1__2[[#This Row],[Household goods and services]]</f>
        <v>277.2</v>
      </c>
    </row>
    <row r="202" spans="1:36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1795.3</v>
      </c>
      <c r="AF202">
        <f>Table1__2[[#This Row],[Fuel and light]]</f>
        <v>139.69999999999999</v>
      </c>
      <c r="AG202">
        <f>Table1__2[[#This Row],[Transport and communication]]</f>
        <v>123.6</v>
      </c>
      <c r="AH20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975.69999999999982</v>
      </c>
      <c r="AI202">
        <f>Table1__2[[#This Row],[Miscellaneous]]+Table1__2[[#This Row],[Pan, tobacco and intoxicants]]</f>
        <v>290.7</v>
      </c>
      <c r="AJ202" s="1">
        <f>Table1__2[[#This Row],[Housing]]+Table1__2[[#This Row],[Household goods and services]]</f>
        <v>282.2</v>
      </c>
    </row>
    <row r="203" spans="1:36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s="62">
        <v>139.26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1818.8</v>
      </c>
      <c r="AF203">
        <f>Table1__2[[#This Row],[Fuel and light]]</f>
        <v>147.69999999999999</v>
      </c>
      <c r="AG203">
        <f>Table1__2[[#This Row],[Transport and communication]]</f>
        <v>128.30000000000001</v>
      </c>
      <c r="AH20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1005.4</v>
      </c>
      <c r="AI203">
        <f>Table1__2[[#This Row],[Miscellaneous]]+Table1__2[[#This Row],[Pan, tobacco and intoxicants]]</f>
        <v>293</v>
      </c>
      <c r="AJ203" s="1">
        <f>Table1__2[[#This Row],[Housing]]+Table1__2[[#This Row],[Household goods and services]]</f>
        <v>283.06</v>
      </c>
    </row>
    <row r="204" spans="1:36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1767.6</v>
      </c>
      <c r="AF204">
        <f>Table1__2[[#This Row],[Fuel and light]]</f>
        <v>129.80000000000001</v>
      </c>
      <c r="AG204">
        <f>Table1__2[[#This Row],[Transport and communication]]</f>
        <v>120.7</v>
      </c>
      <c r="AH20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945.60000000000014</v>
      </c>
      <c r="AI204">
        <f>Table1__2[[#This Row],[Miscellaneous]]+Table1__2[[#This Row],[Pan, tobacco and intoxicants]]</f>
        <v>293.10000000000002</v>
      </c>
      <c r="AJ204" s="1">
        <f>Table1__2[[#This Row],[Housing]]+Table1__2[[#This Row],[Household goods and services]]</f>
        <v>279</v>
      </c>
    </row>
    <row r="205" spans="1:36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1798.7000000000003</v>
      </c>
      <c r="AF205">
        <f>Table1__2[[#This Row],[Fuel and light]]</f>
        <v>140.9</v>
      </c>
      <c r="AG205">
        <f>Table1__2[[#This Row],[Transport and communication]]</f>
        <v>124.3</v>
      </c>
      <c r="AH20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979.59999999999991</v>
      </c>
      <c r="AI205">
        <f>Table1__2[[#This Row],[Miscellaneous]]+Table1__2[[#This Row],[Pan, tobacco and intoxicants]]</f>
        <v>291.8</v>
      </c>
      <c r="AJ205" s="1">
        <f>Table1__2[[#This Row],[Housing]]+Table1__2[[#This Row],[Household goods and services]]</f>
        <v>284</v>
      </c>
    </row>
    <row r="206" spans="1:36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s="62">
        <v>139.26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1799.8000000000002</v>
      </c>
      <c r="AF206">
        <f>Table1__2[[#This Row],[Fuel and light]]</f>
        <v>149</v>
      </c>
      <c r="AG206">
        <f>Table1__2[[#This Row],[Transport and communication]]</f>
        <v>129.9</v>
      </c>
      <c r="AH20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1009.1</v>
      </c>
      <c r="AI206">
        <f>Table1__2[[#This Row],[Miscellaneous]]+Table1__2[[#This Row],[Pan, tobacco and intoxicants]]</f>
        <v>295.10000000000002</v>
      </c>
      <c r="AJ206" s="1">
        <f>Table1__2[[#This Row],[Housing]]+Table1__2[[#This Row],[Household goods and services]]</f>
        <v>283.26</v>
      </c>
    </row>
    <row r="207" spans="1:36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1748.4</v>
      </c>
      <c r="AF207">
        <f>Table1__2[[#This Row],[Fuel and light]]</f>
        <v>131.19999999999999</v>
      </c>
      <c r="AG207">
        <f>Table1__2[[#This Row],[Transport and communication]]</f>
        <v>122.5</v>
      </c>
      <c r="AH20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949.59999999999991</v>
      </c>
      <c r="AI207">
        <f>Table1__2[[#This Row],[Miscellaneous]]+Table1__2[[#This Row],[Pan, tobacco and intoxicants]]</f>
        <v>295.20000000000005</v>
      </c>
      <c r="AJ207" s="1">
        <f>Table1__2[[#This Row],[Housing]]+Table1__2[[#This Row],[Household goods and services]]</f>
        <v>280.20000000000005</v>
      </c>
    </row>
    <row r="208" spans="1:36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1779.5</v>
      </c>
      <c r="AF208">
        <f>Table1__2[[#This Row],[Fuel and light]]</f>
        <v>142.30000000000001</v>
      </c>
      <c r="AG208">
        <f>Table1__2[[#This Row],[Transport and communication]]</f>
        <v>126</v>
      </c>
      <c r="AH20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983.3</v>
      </c>
      <c r="AI208">
        <f>Table1__2[[#This Row],[Miscellaneous]]+Table1__2[[#This Row],[Pan, tobacco and intoxicants]]</f>
        <v>293.89999999999998</v>
      </c>
      <c r="AJ208" s="1">
        <f>Table1__2[[#This Row],[Housing]]+Table1__2[[#This Row],[Household goods and services]]</f>
        <v>285</v>
      </c>
    </row>
    <row r="209" spans="1:36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s="62">
        <v>139.26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1782.2</v>
      </c>
      <c r="AF209">
        <f>Table1__2[[#This Row],[Fuel and light]]</f>
        <v>149.69999999999999</v>
      </c>
      <c r="AG209">
        <f>Table1__2[[#This Row],[Transport and communication]]</f>
        <v>130.80000000000001</v>
      </c>
      <c r="AH20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1012.3</v>
      </c>
      <c r="AI209">
        <f>Table1__2[[#This Row],[Miscellaneous]]+Table1__2[[#This Row],[Pan, tobacco and intoxicants]]</f>
        <v>299.39999999999998</v>
      </c>
      <c r="AJ209" s="1">
        <f>Table1__2[[#This Row],[Housing]]+Table1__2[[#This Row],[Household goods and services]]</f>
        <v>286.76</v>
      </c>
    </row>
    <row r="210" spans="1:36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1754.1</v>
      </c>
      <c r="AF210">
        <f>Table1__2[[#This Row],[Fuel and light]]</f>
        <v>133.4</v>
      </c>
      <c r="AG210">
        <f>Table1__2[[#This Row],[Transport and communication]]</f>
        <v>123.3</v>
      </c>
      <c r="AH21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953.8</v>
      </c>
      <c r="AI210">
        <f>Table1__2[[#This Row],[Miscellaneous]]+Table1__2[[#This Row],[Pan, tobacco and intoxicants]]</f>
        <v>296.5</v>
      </c>
      <c r="AJ210" s="1">
        <f>Table1__2[[#This Row],[Housing]]+Table1__2[[#This Row],[Household goods and services]]</f>
        <v>281.39999999999998</v>
      </c>
    </row>
    <row r="211" spans="1:36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1776.2</v>
      </c>
      <c r="AF211">
        <f>Table1__2[[#This Row],[Fuel and light]]</f>
        <v>145.30000000000001</v>
      </c>
      <c r="AG211">
        <f>Table1__2[[#This Row],[Transport and communication]]</f>
        <v>125.5</v>
      </c>
      <c r="AH21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992.39999999999986</v>
      </c>
      <c r="AI211">
        <f>Table1__2[[#This Row],[Miscellaneous]]+Table1__2[[#This Row],[Pan, tobacco and intoxicants]]</f>
        <v>298.89999999999998</v>
      </c>
      <c r="AJ211" s="1">
        <f>Table1__2[[#This Row],[Housing]]+Table1__2[[#This Row],[Household goods and services]]</f>
        <v>289.10000000000002</v>
      </c>
    </row>
    <row r="212" spans="1:36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s="62">
        <v>139.26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1787.4999999999995</v>
      </c>
      <c r="AF212">
        <f>Table1__2[[#This Row],[Fuel and light]]</f>
        <v>150.30000000000001</v>
      </c>
      <c r="AG212">
        <f>Table1__2[[#This Row],[Transport and communication]]</f>
        <v>130.30000000000001</v>
      </c>
      <c r="AH21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1019.8</v>
      </c>
      <c r="AI212">
        <f>Table1__2[[#This Row],[Miscellaneous]]+Table1__2[[#This Row],[Pan, tobacco and intoxicants]]</f>
        <v>302</v>
      </c>
      <c r="AJ212" s="1">
        <f>Table1__2[[#This Row],[Housing]]+Table1__2[[#This Row],[Household goods and services]]</f>
        <v>287.26</v>
      </c>
    </row>
    <row r="213" spans="1:36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1757.4999999999998</v>
      </c>
      <c r="AF213">
        <f>Table1__2[[#This Row],[Fuel and light]]</f>
        <v>136.69999999999999</v>
      </c>
      <c r="AG213">
        <f>Table1__2[[#This Row],[Transport and communication]]</f>
        <v>121.2</v>
      </c>
      <c r="AH21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957.80000000000007</v>
      </c>
      <c r="AI213">
        <f>Table1__2[[#This Row],[Miscellaneous]]+Table1__2[[#This Row],[Pan, tobacco and intoxicants]]</f>
        <v>296.60000000000002</v>
      </c>
      <c r="AJ213" s="1">
        <f>Table1__2[[#This Row],[Housing]]+Table1__2[[#This Row],[Household goods and services]]</f>
        <v>282.70000000000005</v>
      </c>
    </row>
    <row r="214" spans="1:36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1775.7000000000003</v>
      </c>
      <c r="AF214">
        <f>Table1__2[[#This Row],[Fuel and light]]</f>
        <v>145.1</v>
      </c>
      <c r="AG214">
        <f>Table1__2[[#This Row],[Transport and communication]]</f>
        <v>125.5</v>
      </c>
      <c r="AH21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992.2</v>
      </c>
      <c r="AI214">
        <f>Table1__2[[#This Row],[Miscellaneous]]+Table1__2[[#This Row],[Pan, tobacco and intoxicants]]</f>
        <v>298.89999999999998</v>
      </c>
      <c r="AJ214" s="1">
        <f>Table1__2[[#This Row],[Housing]]+Table1__2[[#This Row],[Household goods and services]]</f>
        <v>289.10000000000002</v>
      </c>
    </row>
    <row r="215" spans="1:36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s="62">
        <v>139.26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1773.1000000000001</v>
      </c>
      <c r="AF215">
        <f>Table1__2[[#This Row],[Fuel and light]]</f>
        <v>149</v>
      </c>
      <c r="AG215">
        <f>Table1__2[[#This Row],[Transport and communication]]</f>
        <v>128.9</v>
      </c>
      <c r="AH21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1029.5</v>
      </c>
      <c r="AI215">
        <f>Table1__2[[#This Row],[Miscellaneous]]+Table1__2[[#This Row],[Pan, tobacco and intoxicants]]</f>
        <v>304</v>
      </c>
      <c r="AJ215" s="1">
        <f>Table1__2[[#This Row],[Housing]]+Table1__2[[#This Row],[Household goods and services]]</f>
        <v>288.76</v>
      </c>
    </row>
    <row r="216" spans="1:36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1746.6</v>
      </c>
      <c r="AF216">
        <f>Table1__2[[#This Row],[Fuel and light]]</f>
        <v>132.4</v>
      </c>
      <c r="AG216">
        <f>Table1__2[[#This Row],[Transport and communication]]</f>
        <v>118.8</v>
      </c>
      <c r="AH21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960.09999999999991</v>
      </c>
      <c r="AI216">
        <f>Table1__2[[#This Row],[Miscellaneous]]+Table1__2[[#This Row],[Pan, tobacco and intoxicants]]</f>
        <v>296.29999999999995</v>
      </c>
      <c r="AJ216" s="1">
        <f>Table1__2[[#This Row],[Housing]]+Table1__2[[#This Row],[Household goods and services]]</f>
        <v>282.7</v>
      </c>
    </row>
    <row r="217" spans="1:36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1762.7999999999997</v>
      </c>
      <c r="AF217">
        <f>Table1__2[[#This Row],[Fuel and light]]</f>
        <v>142.69999999999999</v>
      </c>
      <c r="AG217">
        <f>Table1__2[[#This Row],[Transport and communication]]</f>
        <v>123.6</v>
      </c>
      <c r="AH21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998.30000000000007</v>
      </c>
      <c r="AI217">
        <f>Table1__2[[#This Row],[Miscellaneous]]+Table1__2[[#This Row],[Pan, tobacco and intoxicants]]</f>
        <v>299.8</v>
      </c>
      <c r="AJ217" s="1">
        <f>Table1__2[[#This Row],[Housing]]+Table1__2[[#This Row],[Household goods and services]]</f>
        <v>289.7</v>
      </c>
    </row>
    <row r="218" spans="1:36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s="62">
        <v>139.26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1759.6000000000001</v>
      </c>
      <c r="AF218">
        <f>Table1__2[[#This Row],[Fuel and light]]</f>
        <v>146.19999999999999</v>
      </c>
      <c r="AG218">
        <f>Table1__2[[#This Row],[Transport and communication]]</f>
        <v>128.6</v>
      </c>
      <c r="AH21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1026.8</v>
      </c>
      <c r="AI218">
        <f>Table1__2[[#This Row],[Miscellaneous]]+Table1__2[[#This Row],[Pan, tobacco and intoxicants]]</f>
        <v>304.39999999999998</v>
      </c>
      <c r="AJ218" s="1">
        <f>Table1__2[[#This Row],[Housing]]+Table1__2[[#This Row],[Household goods and services]]</f>
        <v>289.36</v>
      </c>
    </row>
    <row r="219" spans="1:36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1744.3000000000002</v>
      </c>
      <c r="AF219">
        <f>Table1__2[[#This Row],[Fuel and light]]</f>
        <v>128.6</v>
      </c>
      <c r="AG219">
        <f>Table1__2[[#This Row],[Transport and communication]]</f>
        <v>118.6</v>
      </c>
      <c r="AH21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962.5</v>
      </c>
      <c r="AI219">
        <f>Table1__2[[#This Row],[Miscellaneous]]+Table1__2[[#This Row],[Pan, tobacco and intoxicants]]</f>
        <v>296.5</v>
      </c>
      <c r="AJ219" s="1">
        <f>Table1__2[[#This Row],[Housing]]+Table1__2[[#This Row],[Household goods and services]]</f>
        <v>284</v>
      </c>
    </row>
    <row r="220" spans="1:36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1753.3999999999999</v>
      </c>
      <c r="AF220">
        <f>Table1__2[[#This Row],[Fuel and light]]</f>
        <v>139.5</v>
      </c>
      <c r="AG220">
        <f>Table1__2[[#This Row],[Transport and communication]]</f>
        <v>123.3</v>
      </c>
      <c r="AH22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997.8</v>
      </c>
      <c r="AI220">
        <f>Table1__2[[#This Row],[Miscellaneous]]+Table1__2[[#This Row],[Pan, tobacco and intoxicants]]</f>
        <v>300.10000000000002</v>
      </c>
      <c r="AJ220" s="1">
        <f>Table1__2[[#This Row],[Housing]]+Table1__2[[#This Row],[Household goods and services]]</f>
        <v>291.29999999999995</v>
      </c>
    </row>
    <row r="221" spans="1:36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s="62">
        <v>139.26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1759.8000000000002</v>
      </c>
      <c r="AF221">
        <f>Table1__2[[#This Row],[Fuel and light]]</f>
        <v>145.30000000000001</v>
      </c>
      <c r="AG221">
        <f>Table1__2[[#This Row],[Transport and communication]]</f>
        <v>129.19999999999999</v>
      </c>
      <c r="AH22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1030.2</v>
      </c>
      <c r="AI221">
        <f>Table1__2[[#This Row],[Miscellaneous]]+Table1__2[[#This Row],[Pan, tobacco and intoxicants]]</f>
        <v>305</v>
      </c>
      <c r="AJ221" s="1">
        <f>Table1__2[[#This Row],[Housing]]+Table1__2[[#This Row],[Household goods and services]]</f>
        <v>289.36</v>
      </c>
    </row>
    <row r="222" spans="1:36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1754.4</v>
      </c>
      <c r="AF222">
        <f>Table1__2[[#This Row],[Fuel and light]]</f>
        <v>127.1</v>
      </c>
      <c r="AG222">
        <f>Table1__2[[#This Row],[Transport and communication]]</f>
        <v>119.2</v>
      </c>
      <c r="AH22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965.80000000000007</v>
      </c>
      <c r="AI222">
        <f>Table1__2[[#This Row],[Miscellaneous]]+Table1__2[[#This Row],[Pan, tobacco and intoxicants]]</f>
        <v>297.3</v>
      </c>
      <c r="AJ222" s="1">
        <f>Table1__2[[#This Row],[Housing]]+Table1__2[[#This Row],[Household goods and services]]</f>
        <v>285.10000000000002</v>
      </c>
    </row>
    <row r="223" spans="1:36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1757.1</v>
      </c>
      <c r="AF223">
        <f>Table1__2[[#This Row],[Fuel and light]]</f>
        <v>138.4</v>
      </c>
      <c r="AG223">
        <f>Table1__2[[#This Row],[Transport and communication]]</f>
        <v>123.9</v>
      </c>
      <c r="AH22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1001</v>
      </c>
      <c r="AI223">
        <f>Table1__2[[#This Row],[Miscellaneous]]+Table1__2[[#This Row],[Pan, tobacco and intoxicants]]</f>
        <v>300.8</v>
      </c>
      <c r="AJ223" s="1">
        <f>Table1__2[[#This Row],[Housing]]+Table1__2[[#This Row],[Household goods and services]]</f>
        <v>292.2</v>
      </c>
    </row>
    <row r="224" spans="1:36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s="62">
        <v>139.26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1761.2000000000003</v>
      </c>
      <c r="AF224">
        <f>Table1__2[[#This Row],[Fuel and light]]</f>
        <v>146.4</v>
      </c>
      <c r="AG224">
        <f>Table1__2[[#This Row],[Transport and communication]]</f>
        <v>129.9</v>
      </c>
      <c r="AH22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1030.6999999999998</v>
      </c>
      <c r="AI224">
        <f>Table1__2[[#This Row],[Miscellaneous]]+Table1__2[[#This Row],[Pan, tobacco and intoxicants]]</f>
        <v>305.3</v>
      </c>
      <c r="AJ224" s="1">
        <f>Table1__2[[#This Row],[Housing]]+Table1__2[[#This Row],[Household goods and services]]</f>
        <v>289.26</v>
      </c>
    </row>
    <row r="225" spans="1:36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1768.4</v>
      </c>
      <c r="AF225">
        <f>Table1__2[[#This Row],[Fuel and light]]</f>
        <v>128.80000000000001</v>
      </c>
      <c r="AG225">
        <f>Table1__2[[#This Row],[Transport and communication]]</f>
        <v>119.9</v>
      </c>
      <c r="AH22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967.7</v>
      </c>
      <c r="AI225">
        <f>Table1__2[[#This Row],[Miscellaneous]]+Table1__2[[#This Row],[Pan, tobacco and intoxicants]]</f>
        <v>298.10000000000002</v>
      </c>
      <c r="AJ225" s="1">
        <f>Table1__2[[#This Row],[Housing]]+Table1__2[[#This Row],[Household goods and services]]</f>
        <v>285.8</v>
      </c>
    </row>
    <row r="226" spans="1:36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1762.9</v>
      </c>
      <c r="AF226">
        <f>Table1__2[[#This Row],[Fuel and light]]</f>
        <v>139.69999999999999</v>
      </c>
      <c r="AG226">
        <f>Table1__2[[#This Row],[Transport and communication]]</f>
        <v>124.6</v>
      </c>
      <c r="AH22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1002.0999999999999</v>
      </c>
      <c r="AI226">
        <f>Table1__2[[#This Row],[Miscellaneous]]+Table1__2[[#This Row],[Pan, tobacco and intoxicants]]</f>
        <v>301.2</v>
      </c>
      <c r="AJ226" s="1">
        <f>Table1__2[[#This Row],[Housing]]+Table1__2[[#This Row],[Household goods and services]]</f>
        <v>292.8</v>
      </c>
    </row>
    <row r="227" spans="1:36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s="62">
        <v>139.26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  <c r="AE22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1782.1000000000001</v>
      </c>
      <c r="AF227">
        <f>Table1__2[[#This Row],[Fuel and light]]</f>
        <v>146.9</v>
      </c>
      <c r="AG227">
        <f>Table1__2[[#This Row],[Transport and communication]]</f>
        <v>130.19999999999999</v>
      </c>
      <c r="AH22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1036.3999999999999</v>
      </c>
      <c r="AI227">
        <f>Table1__2[[#This Row],[Miscellaneous]]+Table1__2[[#This Row],[Pan, tobacco and intoxicants]]</f>
        <v>306.20000000000005</v>
      </c>
      <c r="AJ227" s="1">
        <f>Table1__2[[#This Row],[Housing]]+Table1__2[[#This Row],[Household goods and services]]</f>
        <v>288.76</v>
      </c>
    </row>
    <row r="228" spans="1:36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  <c r="AE22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1811.5000000000002</v>
      </c>
      <c r="AF228">
        <f>Table1__2[[#This Row],[Fuel and light]]</f>
        <v>129.4</v>
      </c>
      <c r="AG228">
        <f>Table1__2[[#This Row],[Transport and communication]]</f>
        <v>120.1</v>
      </c>
      <c r="AH22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972.3</v>
      </c>
      <c r="AI228">
        <f>Table1__2[[#This Row],[Miscellaneous]]+Table1__2[[#This Row],[Pan, tobacco and intoxicants]]</f>
        <v>299.5</v>
      </c>
      <c r="AJ228" s="1">
        <f>Table1__2[[#This Row],[Housing]]+Table1__2[[#This Row],[Household goods and services]]</f>
        <v>287.29999999999995</v>
      </c>
    </row>
    <row r="229" spans="1:36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  <c r="AE22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1791.9000000000003</v>
      </c>
      <c r="AF229">
        <f>Table1__2[[#This Row],[Fuel and light]]</f>
        <v>140.30000000000001</v>
      </c>
      <c r="AG229">
        <f>Table1__2[[#This Row],[Transport and communication]]</f>
        <v>124.9</v>
      </c>
      <c r="AH22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1007.2</v>
      </c>
      <c r="AI229">
        <f>Table1__2[[#This Row],[Miscellaneous]]+Table1__2[[#This Row],[Pan, tobacco and intoxicants]]</f>
        <v>302.29999999999995</v>
      </c>
      <c r="AJ229" s="1">
        <f>Table1__2[[#This Row],[Housing]]+Table1__2[[#This Row],[Household goods and services]]</f>
        <v>293.79999999999995</v>
      </c>
    </row>
    <row r="230" spans="1:36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s="62">
        <v>139.26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  <c r="AE23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1804.1999999999998</v>
      </c>
      <c r="AF230">
        <f>Table1__2[[#This Row],[Fuel and light]]</f>
        <v>147.80000000000001</v>
      </c>
      <c r="AG230">
        <f>Table1__2[[#This Row],[Transport and communication]]</f>
        <v>130.19999999999999</v>
      </c>
      <c r="AH23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1039.2</v>
      </c>
      <c r="AI230">
        <f>Table1__2[[#This Row],[Miscellaneous]]+Table1__2[[#This Row],[Pan, tobacco and intoxicants]]</f>
        <v>307.5</v>
      </c>
      <c r="AJ230" s="1">
        <f>Table1__2[[#This Row],[Housing]]+Table1__2[[#This Row],[Household goods and services]]</f>
        <v>288.86</v>
      </c>
    </row>
    <row r="231" spans="1:36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  <c r="AE23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1833.2999999999997</v>
      </c>
      <c r="AF231">
        <f>Table1__2[[#This Row],[Fuel and light]]</f>
        <v>130.5</v>
      </c>
      <c r="AG231">
        <f>Table1__2[[#This Row],[Transport and communication]]</f>
        <v>119.6</v>
      </c>
      <c r="AH23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975.6</v>
      </c>
      <c r="AI231">
        <f>Table1__2[[#This Row],[Miscellaneous]]+Table1__2[[#This Row],[Pan, tobacco and intoxicants]]</f>
        <v>300.29999999999995</v>
      </c>
      <c r="AJ231" s="1">
        <f>Table1__2[[#This Row],[Housing]]+Table1__2[[#This Row],[Household goods and services]]</f>
        <v>286.8</v>
      </c>
    </row>
    <row r="232" spans="1:36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  <c r="AE23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1814.1000000000001</v>
      </c>
      <c r="AF232">
        <f>Table1__2[[#This Row],[Fuel and light]]</f>
        <v>141.19999999999999</v>
      </c>
      <c r="AG232">
        <f>Table1__2[[#This Row],[Transport and communication]]</f>
        <v>124.6</v>
      </c>
      <c r="AH23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1010.1999999999999</v>
      </c>
      <c r="AI232">
        <f>Table1__2[[#This Row],[Miscellaneous]]+Table1__2[[#This Row],[Pan, tobacco and intoxicants]]</f>
        <v>303.5</v>
      </c>
      <c r="AJ232" s="1">
        <f>Table1__2[[#This Row],[Housing]]+Table1__2[[#This Row],[Household goods and services]]</f>
        <v>293.20000000000005</v>
      </c>
    </row>
    <row r="233" spans="1:36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s="62">
        <v>139.26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  <c r="AE23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1826.8999999999999</v>
      </c>
      <c r="AF233">
        <f>Table1__2[[#This Row],[Fuel and light]]</f>
        <v>146.80000000000001</v>
      </c>
      <c r="AG233">
        <f>Table1__2[[#This Row],[Transport and communication]]</f>
        <v>131.19999999999999</v>
      </c>
      <c r="AH23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1044</v>
      </c>
      <c r="AI233">
        <f>Table1__2[[#This Row],[Miscellaneous]]+Table1__2[[#This Row],[Pan, tobacco and intoxicants]]</f>
        <v>308.7</v>
      </c>
      <c r="AJ233" s="1">
        <f>Table1__2[[#This Row],[Housing]]+Table1__2[[#This Row],[Household goods and services]]</f>
        <v>289.26</v>
      </c>
    </row>
    <row r="234" spans="1:36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  <c r="AE23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1857.3999999999999</v>
      </c>
      <c r="AF234">
        <f>Table1__2[[#This Row],[Fuel and light]]</f>
        <v>127</v>
      </c>
      <c r="AG234">
        <f>Table1__2[[#This Row],[Transport and communication]]</f>
        <v>120.6</v>
      </c>
      <c r="AH23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980.59999999999991</v>
      </c>
      <c r="AI234">
        <f>Table1__2[[#This Row],[Miscellaneous]]+Table1__2[[#This Row],[Pan, tobacco and intoxicants]]</f>
        <v>301.7</v>
      </c>
      <c r="AJ234" s="1">
        <f>Table1__2[[#This Row],[Housing]]+Table1__2[[#This Row],[Household goods and services]]</f>
        <v>288.29999999999995</v>
      </c>
    </row>
    <row r="235" spans="1:36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  <c r="AE23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1837.5</v>
      </c>
      <c r="AF235">
        <f>Table1__2[[#This Row],[Fuel and light]]</f>
        <v>139.30000000000001</v>
      </c>
      <c r="AG235">
        <f>Table1__2[[#This Row],[Transport and communication]]</f>
        <v>125.6</v>
      </c>
      <c r="AH23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1015.0999999999999</v>
      </c>
      <c r="AI235">
        <f>Table1__2[[#This Row],[Miscellaneous]]+Table1__2[[#This Row],[Pan, tobacco and intoxicants]]</f>
        <v>304.7</v>
      </c>
      <c r="AJ235" s="1">
        <f>Table1__2[[#This Row],[Housing]]+Table1__2[[#This Row],[Household goods and services]]</f>
        <v>294.79999999999995</v>
      </c>
    </row>
    <row r="236" spans="1:36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s="62">
        <v>139.26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  <c r="AE23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1834.5000000000002</v>
      </c>
      <c r="AF236">
        <f>Table1__2[[#This Row],[Fuel and light]]</f>
        <v>146.4</v>
      </c>
      <c r="AG236">
        <f>Table1__2[[#This Row],[Transport and communication]]</f>
        <v>131.4</v>
      </c>
      <c r="AH23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1048.6999999999998</v>
      </c>
      <c r="AI236">
        <f>Table1__2[[#This Row],[Miscellaneous]]+Table1__2[[#This Row],[Pan, tobacco and intoxicants]]</f>
        <v>310</v>
      </c>
      <c r="AJ236" s="1">
        <f>Table1__2[[#This Row],[Housing]]+Table1__2[[#This Row],[Household goods and services]]</f>
        <v>289.45999999999998</v>
      </c>
    </row>
    <row r="237" spans="1:36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  <c r="AE23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1869.1</v>
      </c>
      <c r="AF237">
        <f>Table1__2[[#This Row],[Fuel and light]]</f>
        <v>125.5</v>
      </c>
      <c r="AG237">
        <f>Table1__2[[#This Row],[Transport and communication]]</f>
        <v>120.8</v>
      </c>
      <c r="AH23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986.40000000000009</v>
      </c>
      <c r="AI237">
        <f>Table1__2[[#This Row],[Miscellaneous]]+Table1__2[[#This Row],[Pan, tobacco and intoxicants]]</f>
        <v>303.20000000000005</v>
      </c>
      <c r="AJ237" s="1">
        <f>Table1__2[[#This Row],[Housing]]+Table1__2[[#This Row],[Household goods and services]]</f>
        <v>289.7</v>
      </c>
    </row>
    <row r="238" spans="1:36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  <c r="AE23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1846.5</v>
      </c>
      <c r="AF238">
        <f>Table1__2[[#This Row],[Fuel and light]]</f>
        <v>138.5</v>
      </c>
      <c r="AG238">
        <f>Table1__2[[#This Row],[Transport and communication]]</f>
        <v>125.8</v>
      </c>
      <c r="AH23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1020.3000000000001</v>
      </c>
      <c r="AI238">
        <f>Table1__2[[#This Row],[Miscellaneous]]+Table1__2[[#This Row],[Pan, tobacco and intoxicants]]</f>
        <v>306</v>
      </c>
      <c r="AJ238" s="1">
        <f>Table1__2[[#This Row],[Housing]]+Table1__2[[#This Row],[Household goods and services]]</f>
        <v>296.10000000000002</v>
      </c>
    </row>
    <row r="239" spans="1:36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s="62">
        <v>139.26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  <c r="AE23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1848.7</v>
      </c>
      <c r="AF239">
        <f>Table1__2[[#This Row],[Fuel and light]]</f>
        <v>146.9</v>
      </c>
      <c r="AG239">
        <f>Table1__2[[#This Row],[Transport and communication]]</f>
        <v>131.6</v>
      </c>
      <c r="AH23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1051.3999999999999</v>
      </c>
      <c r="AI239">
        <f>Table1__2[[#This Row],[Miscellaneous]]+Table1__2[[#This Row],[Pan, tobacco and intoxicants]]</f>
        <v>311.10000000000002</v>
      </c>
      <c r="AJ239" s="1">
        <f>Table1__2[[#This Row],[Housing]]+Table1__2[[#This Row],[Household goods and services]]</f>
        <v>289.56</v>
      </c>
    </row>
    <row r="240" spans="1:36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  <c r="AE24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1874.9</v>
      </c>
      <c r="AF240">
        <f>Table1__2[[#This Row],[Fuel and light]]</f>
        <v>126.6</v>
      </c>
      <c r="AG240">
        <f>Table1__2[[#This Row],[Transport and communication]]</f>
        <v>121.2</v>
      </c>
      <c r="AH24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989.20000000000016</v>
      </c>
      <c r="AI240">
        <f>Table1__2[[#This Row],[Miscellaneous]]+Table1__2[[#This Row],[Pan, tobacco and intoxicants]]</f>
        <v>304.29999999999995</v>
      </c>
      <c r="AJ240" s="1">
        <f>Table1__2[[#This Row],[Housing]]+Table1__2[[#This Row],[Household goods and services]]</f>
        <v>290.5</v>
      </c>
    </row>
    <row r="241" spans="1:36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  <c r="AE24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1857.6999999999998</v>
      </c>
      <c r="AF241">
        <f>Table1__2[[#This Row],[Fuel and light]]</f>
        <v>139.19999999999999</v>
      </c>
      <c r="AG241">
        <f>Table1__2[[#This Row],[Transport and communication]]</f>
        <v>126.1</v>
      </c>
      <c r="AH24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1022.8999999999999</v>
      </c>
      <c r="AI241">
        <f>Table1__2[[#This Row],[Miscellaneous]]+Table1__2[[#This Row],[Pan, tobacco and intoxicants]]</f>
        <v>307.2</v>
      </c>
      <c r="AJ241" s="1">
        <f>Table1__2[[#This Row],[Housing]]+Table1__2[[#This Row],[Household goods and services]]</f>
        <v>296.79999999999995</v>
      </c>
    </row>
    <row r="242" spans="1:36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s="62">
        <v>139.26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  <c r="AE24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1876.8999999999996</v>
      </c>
      <c r="AF242">
        <f>Table1__2[[#This Row],[Fuel and light]]</f>
        <v>147.69999999999999</v>
      </c>
      <c r="AG242">
        <f>Table1__2[[#This Row],[Transport and communication]]</f>
        <v>131.69999999999999</v>
      </c>
      <c r="AH24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1052.8000000000002</v>
      </c>
      <c r="AI242">
        <f>Table1__2[[#This Row],[Miscellaneous]]+Table1__2[[#This Row],[Pan, tobacco and intoxicants]]</f>
        <v>312</v>
      </c>
      <c r="AJ242" s="1">
        <f>Table1__2[[#This Row],[Housing]]+Table1__2[[#This Row],[Household goods and services]]</f>
        <v>289.86</v>
      </c>
    </row>
    <row r="243" spans="1:36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  <c r="AE24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1902.6000000000001</v>
      </c>
      <c r="AF243">
        <f>Table1__2[[#This Row],[Fuel and light]]</f>
        <v>128.9</v>
      </c>
      <c r="AG243">
        <f>Table1__2[[#This Row],[Transport and communication]]</f>
        <v>121.5</v>
      </c>
      <c r="AH24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992</v>
      </c>
      <c r="AI243">
        <f>Table1__2[[#This Row],[Miscellaneous]]+Table1__2[[#This Row],[Pan, tobacco and intoxicants]]</f>
        <v>305.3</v>
      </c>
      <c r="AJ243" s="1">
        <f>Table1__2[[#This Row],[Housing]]+Table1__2[[#This Row],[Household goods and services]]</f>
        <v>291.7</v>
      </c>
    </row>
    <row r="244" spans="1:36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  <c r="AE24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1885.5999999999997</v>
      </c>
      <c r="AF244">
        <f>Table1__2[[#This Row],[Fuel and light]]</f>
        <v>140.6</v>
      </c>
      <c r="AG244">
        <f>Table1__2[[#This Row],[Transport and communication]]</f>
        <v>126.3</v>
      </c>
      <c r="AH24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1024.9000000000001</v>
      </c>
      <c r="AI244">
        <f>Table1__2[[#This Row],[Miscellaneous]]+Table1__2[[#This Row],[Pan, tobacco and intoxicants]]</f>
        <v>308.10000000000002</v>
      </c>
      <c r="AJ244" s="1">
        <f>Table1__2[[#This Row],[Housing]]+Table1__2[[#This Row],[Household goods and services]]</f>
        <v>298</v>
      </c>
    </row>
    <row r="245" spans="1:36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s="62">
        <v>139.26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  <c r="AE24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1904.6000000000001</v>
      </c>
      <c r="AF245">
        <f>Table1__2[[#This Row],[Fuel and light]]</f>
        <v>148.4</v>
      </c>
      <c r="AG245">
        <f>Table1__2[[#This Row],[Transport and communication]]</f>
        <v>132.1</v>
      </c>
      <c r="AH24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1055.5999999999999</v>
      </c>
      <c r="AI245">
        <f>Table1__2[[#This Row],[Miscellaneous]]+Table1__2[[#This Row],[Pan, tobacco and intoxicants]]</f>
        <v>313.29999999999995</v>
      </c>
      <c r="AJ245" s="1">
        <f>Table1__2[[#This Row],[Housing]]+Table1__2[[#This Row],[Household goods and services]]</f>
        <v>290.15999999999997</v>
      </c>
    </row>
    <row r="246" spans="1:36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  <c r="AE24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1923.9999999999998</v>
      </c>
      <c r="AF246">
        <f>Table1__2[[#This Row],[Fuel and light]]</f>
        <v>132.19999999999999</v>
      </c>
      <c r="AG246">
        <f>Table1__2[[#This Row],[Transport and communication]]</f>
        <v>121.7</v>
      </c>
      <c r="AH24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994.2</v>
      </c>
      <c r="AI246">
        <f>Table1__2[[#This Row],[Miscellaneous]]+Table1__2[[#This Row],[Pan, tobacco and intoxicants]]</f>
        <v>306.20000000000005</v>
      </c>
      <c r="AJ246" s="1">
        <f>Table1__2[[#This Row],[Housing]]+Table1__2[[#This Row],[Household goods and services]]</f>
        <v>292.60000000000002</v>
      </c>
    </row>
    <row r="247" spans="1:36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  <c r="AE24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1910.9</v>
      </c>
      <c r="AF247">
        <f>Table1__2[[#This Row],[Fuel and light]]</f>
        <v>142.30000000000001</v>
      </c>
      <c r="AG247">
        <f>Table1__2[[#This Row],[Transport and communication]]</f>
        <v>126.6</v>
      </c>
      <c r="AH24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1027.3</v>
      </c>
      <c r="AI247">
        <f>Table1__2[[#This Row],[Miscellaneous]]+Table1__2[[#This Row],[Pan, tobacco and intoxicants]]</f>
        <v>309.20000000000005</v>
      </c>
      <c r="AJ247" s="1">
        <f>Table1__2[[#This Row],[Housing]]+Table1__2[[#This Row],[Household goods and services]]</f>
        <v>298.8</v>
      </c>
    </row>
    <row r="248" spans="1:36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s="62">
        <v>139.26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  <c r="AE24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1940.9999999999995</v>
      </c>
      <c r="AF248">
        <f>Table1__2[[#This Row],[Fuel and light]]</f>
        <v>149.9</v>
      </c>
      <c r="AG248">
        <f>Table1__2[[#This Row],[Transport and communication]]</f>
        <v>135</v>
      </c>
      <c r="AH24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1057.8</v>
      </c>
      <c r="AI248">
        <f>Table1__2[[#This Row],[Miscellaneous]]+Table1__2[[#This Row],[Pan, tobacco and intoxicants]]</f>
        <v>314.89999999999998</v>
      </c>
      <c r="AJ248" s="1">
        <f>Table1__2[[#This Row],[Housing]]+Table1__2[[#This Row],[Household goods and services]]</f>
        <v>290.45999999999998</v>
      </c>
    </row>
    <row r="249" spans="1:36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  <c r="AE24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1956.7</v>
      </c>
      <c r="AF249">
        <f>Table1__2[[#This Row],[Fuel and light]]</f>
        <v>133.6</v>
      </c>
      <c r="AG249">
        <f>Table1__2[[#This Row],[Transport and communication]]</f>
        <v>125.2</v>
      </c>
      <c r="AH24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996.29999999999984</v>
      </c>
      <c r="AI249">
        <f>Table1__2[[#This Row],[Miscellaneous]]+Table1__2[[#This Row],[Pan, tobacco and intoxicants]]</f>
        <v>308.10000000000002</v>
      </c>
      <c r="AJ249" s="1">
        <f>Table1__2[[#This Row],[Housing]]+Table1__2[[#This Row],[Household goods and services]]</f>
        <v>292.60000000000002</v>
      </c>
    </row>
    <row r="250" spans="1:36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  <c r="AE25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1946.1000000000001</v>
      </c>
      <c r="AF250">
        <f>Table1__2[[#This Row],[Fuel and light]]</f>
        <v>143.69999999999999</v>
      </c>
      <c r="AG250">
        <f>Table1__2[[#This Row],[Transport and communication]]</f>
        <v>129.80000000000001</v>
      </c>
      <c r="AH25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1029.4000000000001</v>
      </c>
      <c r="AI250">
        <f>Table1__2[[#This Row],[Miscellaneous]]+Table1__2[[#This Row],[Pan, tobacco and intoxicants]]</f>
        <v>311</v>
      </c>
      <c r="AJ250" s="1">
        <f>Table1__2[[#This Row],[Housing]]+Table1__2[[#This Row],[Household goods and services]]</f>
        <v>298.60000000000002</v>
      </c>
    </row>
    <row r="251" spans="1:36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s="62">
        <v>139.26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  <c r="AE25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1938.6</v>
      </c>
      <c r="AF251">
        <f>Table1__2[[#This Row],[Fuel and light]]</f>
        <v>150.4</v>
      </c>
      <c r="AG251">
        <f>Table1__2[[#This Row],[Transport and communication]]</f>
        <v>136.30000000000001</v>
      </c>
      <c r="AH25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1062.3</v>
      </c>
      <c r="AI251">
        <f>Table1__2[[#This Row],[Miscellaneous]]+Table1__2[[#This Row],[Pan, tobacco and intoxicants]]</f>
        <v>316.7</v>
      </c>
      <c r="AJ251" s="1">
        <f>Table1__2[[#This Row],[Housing]]+Table1__2[[#This Row],[Household goods and services]]</f>
        <v>290.95999999999998</v>
      </c>
    </row>
    <row r="252" spans="1:36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  <c r="AE25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1945.3999999999999</v>
      </c>
      <c r="AF252">
        <f>Table1__2[[#This Row],[Fuel and light]]</f>
        <v>135.1</v>
      </c>
      <c r="AG252">
        <f>Table1__2[[#This Row],[Transport and communication]]</f>
        <v>126.1</v>
      </c>
      <c r="AH25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1000.3000000000001</v>
      </c>
      <c r="AI252">
        <f>Table1__2[[#This Row],[Miscellaneous]]+Table1__2[[#This Row],[Pan, tobacco and intoxicants]]</f>
        <v>309.20000000000005</v>
      </c>
      <c r="AJ252" s="1">
        <f>Table1__2[[#This Row],[Housing]]+Table1__2[[#This Row],[Household goods and services]]</f>
        <v>294</v>
      </c>
    </row>
    <row r="253" spans="1:36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  <c r="AE25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1940.3999999999999</v>
      </c>
      <c r="AF253">
        <f>Table1__2[[#This Row],[Fuel and light]]</f>
        <v>144.6</v>
      </c>
      <c r="AG253">
        <f>Table1__2[[#This Row],[Transport and communication]]</f>
        <v>130.9</v>
      </c>
      <c r="AH25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1033.5999999999999</v>
      </c>
      <c r="AI253">
        <f>Table1__2[[#This Row],[Miscellaneous]]+Table1__2[[#This Row],[Pan, tobacco and intoxicants]]</f>
        <v>312.60000000000002</v>
      </c>
      <c r="AJ253" s="1">
        <f>Table1__2[[#This Row],[Housing]]+Table1__2[[#This Row],[Household goods and services]]</f>
        <v>300.10000000000002</v>
      </c>
    </row>
    <row r="254" spans="1:36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s="62">
        <v>139.26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  <c r="AE25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1909.7999999999997</v>
      </c>
      <c r="AF254">
        <f>Table1__2[[#This Row],[Fuel and light]]</f>
        <v>152.30000000000001</v>
      </c>
      <c r="AG254">
        <f>Table1__2[[#This Row],[Transport and communication]]</f>
        <v>136</v>
      </c>
      <c r="AH25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1064.7</v>
      </c>
      <c r="AI254">
        <f>Table1__2[[#This Row],[Miscellaneous]]+Table1__2[[#This Row],[Pan, tobacco and intoxicants]]</f>
        <v>317.8</v>
      </c>
      <c r="AJ254" s="1">
        <f>Table1__2[[#This Row],[Housing]]+Table1__2[[#This Row],[Household goods and services]]</f>
        <v>291.06</v>
      </c>
    </row>
    <row r="255" spans="1:36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  <c r="AE25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1916.6</v>
      </c>
      <c r="AF255">
        <f>Table1__2[[#This Row],[Fuel and light]]</f>
        <v>138.9</v>
      </c>
      <c r="AG255">
        <f>Table1__2[[#This Row],[Transport and communication]]</f>
        <v>125.2</v>
      </c>
      <c r="AH25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1003.8</v>
      </c>
      <c r="AI255">
        <f>Table1__2[[#This Row],[Miscellaneous]]+Table1__2[[#This Row],[Pan, tobacco and intoxicants]]</f>
        <v>310.39999999999998</v>
      </c>
      <c r="AJ255" s="1">
        <f>Table1__2[[#This Row],[Housing]]+Table1__2[[#This Row],[Household goods and services]]</f>
        <v>295.20000000000005</v>
      </c>
    </row>
    <row r="256" spans="1:36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  <c r="AE25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1911.6</v>
      </c>
      <c r="AF256">
        <f>Table1__2[[#This Row],[Fuel and light]]</f>
        <v>147.19999999999999</v>
      </c>
      <c r="AG256">
        <f>Table1__2[[#This Row],[Transport and communication]]</f>
        <v>130.30000000000001</v>
      </c>
      <c r="AH25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1036.5</v>
      </c>
      <c r="AI256">
        <f>Table1__2[[#This Row],[Miscellaneous]]+Table1__2[[#This Row],[Pan, tobacco and intoxicants]]</f>
        <v>313.7</v>
      </c>
      <c r="AJ256" s="1">
        <f>Table1__2[[#This Row],[Housing]]+Table1__2[[#This Row],[Household goods and services]]</f>
        <v>301.20000000000005</v>
      </c>
    </row>
    <row r="257" spans="1:36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s="62">
        <v>139.26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  <c r="AE25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1894.5999999999997</v>
      </c>
      <c r="AF257">
        <f>Table1__2[[#This Row],[Fuel and light]]</f>
        <v>153.4</v>
      </c>
      <c r="AG257">
        <f>Table1__2[[#This Row],[Transport and communication]]</f>
        <v>135.80000000000001</v>
      </c>
      <c r="AH25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1067.7</v>
      </c>
      <c r="AI257">
        <f>Table1__2[[#This Row],[Miscellaneous]]+Table1__2[[#This Row],[Pan, tobacco and intoxicants]]</f>
        <v>319.10000000000002</v>
      </c>
      <c r="AJ257" s="1">
        <f>Table1__2[[#This Row],[Housing]]+Table1__2[[#This Row],[Household goods and services]]</f>
        <v>290.76</v>
      </c>
    </row>
    <row r="258" spans="1:36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  <c r="AE25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1898.5</v>
      </c>
      <c r="AF258">
        <f>Table1__2[[#This Row],[Fuel and light]]</f>
        <v>141.4</v>
      </c>
      <c r="AG258">
        <f>Table1__2[[#This Row],[Transport and communication]]</f>
        <v>124.6</v>
      </c>
      <c r="AH25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1007.8</v>
      </c>
      <c r="AI258">
        <f>Table1__2[[#This Row],[Miscellaneous]]+Table1__2[[#This Row],[Pan, tobacco and intoxicants]]</f>
        <v>312</v>
      </c>
      <c r="AJ258" s="1">
        <f>Table1__2[[#This Row],[Housing]]+Table1__2[[#This Row],[Household goods and services]]</f>
        <v>295.3</v>
      </c>
    </row>
    <row r="259" spans="1:36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1895.4</v>
      </c>
      <c r="AF259">
        <f>Table1__2[[#This Row],[Fuel and light]]</f>
        <v>148.9</v>
      </c>
      <c r="AG259">
        <f>Table1__2[[#This Row],[Transport and communication]]</f>
        <v>129.9</v>
      </c>
      <c r="AH25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1040.2</v>
      </c>
      <c r="AI259">
        <f>Table1__2[[#This Row],[Miscellaneous]]+Table1__2[[#This Row],[Pan, tobacco and intoxicants]]</f>
        <v>315</v>
      </c>
      <c r="AJ259" s="1">
        <f>Table1__2[[#This Row],[Housing]]+Table1__2[[#This Row],[Household goods and services]]</f>
        <v>300.89999999999998</v>
      </c>
    </row>
    <row r="260" spans="1:36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s="62">
        <v>139.26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  <c r="AE260" t="e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#VALUE!</v>
      </c>
      <c r="AF260">
        <f>Table1__2[[#This Row],[Fuel and light]]</f>
        <v>148.4</v>
      </c>
      <c r="AG260" t="str">
        <f>Table1__2[[#This Row],[Transport and communication]]</f>
        <v>NA</v>
      </c>
      <c r="AH260" t="e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#VALUE!</v>
      </c>
      <c r="AI260" t="e">
        <f>Table1__2[[#This Row],[Miscellaneous]]+Table1__2[[#This Row],[Pan, tobacco and intoxicants]]</f>
        <v>#VALUE!</v>
      </c>
      <c r="AJ260" s="1" t="e">
        <f>Table1__2[[#This Row],[Housing]]+Table1__2[[#This Row],[Household goods and services]]</f>
        <v>#VALUE!</v>
      </c>
    </row>
    <row r="261" spans="1:36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  <c r="AE261" t="e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#VALUE!</v>
      </c>
      <c r="AF261">
        <f>Table1__2[[#This Row],[Fuel and light]]</f>
        <v>137.1</v>
      </c>
      <c r="AG261" t="str">
        <f>Table1__2[[#This Row],[Transport and communication]]</f>
        <v>NA</v>
      </c>
      <c r="AH261" t="e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#VALUE!</v>
      </c>
      <c r="AI261" t="e">
        <f>Table1__2[[#This Row],[Miscellaneous]]+Table1__2[[#This Row],[Pan, tobacco and intoxicants]]</f>
        <v>#VALUE!</v>
      </c>
      <c r="AJ261" s="1" t="e">
        <f>Table1__2[[#This Row],[Housing]]+Table1__2[[#This Row],[Household goods and services]]</f>
        <v>#VALUE!</v>
      </c>
    </row>
    <row r="262" spans="1:36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  <c r="AE262" t="e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#VALUE!</v>
      </c>
      <c r="AF262">
        <f>Table1__2[[#This Row],[Fuel and light]]</f>
        <v>144.1</v>
      </c>
      <c r="AG262" t="str">
        <f>Table1__2[[#This Row],[Transport and communication]]</f>
        <v>NA</v>
      </c>
      <c r="AH262" t="e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#VALUE!</v>
      </c>
      <c r="AI262" t="e">
        <f>Table1__2[[#This Row],[Miscellaneous]]+Table1__2[[#This Row],[Pan, tobacco and intoxicants]]</f>
        <v>#VALUE!</v>
      </c>
      <c r="AJ262" s="1" t="e">
        <f>Table1__2[[#This Row],[Housing]]+Table1__2[[#This Row],[Household goods and services]]</f>
        <v>#VALUE!</v>
      </c>
    </row>
    <row r="263" spans="1:36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s="62">
        <v>139.26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  <c r="AE263" t="e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#VALUE!</v>
      </c>
      <c r="AF263" t="str">
        <f>Table1__2[[#This Row],[Fuel and light]]</f>
        <v>NA</v>
      </c>
      <c r="AG263" t="str">
        <f>Table1__2[[#This Row],[Transport and communication]]</f>
        <v>NA</v>
      </c>
      <c r="AH263" t="e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#VALUE!</v>
      </c>
      <c r="AI263" t="e">
        <f>Table1__2[[#This Row],[Miscellaneous]]+Table1__2[[#This Row],[Pan, tobacco and intoxicants]]</f>
        <v>#VALUE!</v>
      </c>
      <c r="AJ263" s="1" t="e">
        <f>Table1__2[[#This Row],[Housing]]+Table1__2[[#This Row],[Household goods and services]]</f>
        <v>#VALUE!</v>
      </c>
    </row>
    <row r="264" spans="1:36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s="62">
        <v>139.26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 t="e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#VALUE!</v>
      </c>
      <c r="AF264" t="str">
        <f>Table1__2[[#This Row],[Fuel and light]]</f>
        <v>NA</v>
      </c>
      <c r="AG264" t="str">
        <f>Table1__2[[#This Row],[Transport and communication]]</f>
        <v>NA</v>
      </c>
      <c r="AH264" t="e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#VALUE!</v>
      </c>
      <c r="AI264" t="e">
        <f>Table1__2[[#This Row],[Miscellaneous]]+Table1__2[[#This Row],[Pan, tobacco and intoxicants]]</f>
        <v>#VALUE!</v>
      </c>
      <c r="AJ264" s="1" t="e">
        <f>Table1__2[[#This Row],[Housing]]+Table1__2[[#This Row],[Household goods and services]]</f>
        <v>#VALUE!</v>
      </c>
    </row>
    <row r="265" spans="1:36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s="62">
        <v>139.26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  <c r="AE265" t="e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#VALUE!</v>
      </c>
      <c r="AF265" t="str">
        <f>Table1__2[[#This Row],[Fuel and light]]</f>
        <v>NA</v>
      </c>
      <c r="AG265" t="str">
        <f>Table1__2[[#This Row],[Transport and communication]]</f>
        <v>NA</v>
      </c>
      <c r="AH265" t="e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#VALUE!</v>
      </c>
      <c r="AI265" t="e">
        <f>Table1__2[[#This Row],[Miscellaneous]]+Table1__2[[#This Row],[Pan, tobacco and intoxicants]]</f>
        <v>#VALUE!</v>
      </c>
      <c r="AJ265" s="1" t="e">
        <f>Table1__2[[#This Row],[Housing]]+Table1__2[[#This Row],[Household goods and services]]</f>
        <v>#VALUE!</v>
      </c>
    </row>
    <row r="266" spans="1:36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s="62">
        <v>139.26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1951</v>
      </c>
      <c r="AF266">
        <f>Table1__2[[#This Row],[Fuel and light]]</f>
        <v>144.9</v>
      </c>
      <c r="AG266">
        <f>Table1__2[[#This Row],[Transport and communication]]</f>
        <v>141.4</v>
      </c>
      <c r="AH26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1083.2</v>
      </c>
      <c r="AI266">
        <f>Table1__2[[#This Row],[Miscellaneous]]+Table1__2[[#This Row],[Pan, tobacco and intoxicants]]</f>
        <v>334.1</v>
      </c>
      <c r="AJ266" s="1">
        <f>Table1__2[[#This Row],[Housing]]+Table1__2[[#This Row],[Household goods and services]]</f>
        <v>290.95999999999998</v>
      </c>
    </row>
    <row r="267" spans="1:36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1994.9999999999998</v>
      </c>
      <c r="AF267">
        <f>Table1__2[[#This Row],[Fuel and light]]</f>
        <v>137.1</v>
      </c>
      <c r="AG267">
        <f>Table1__2[[#This Row],[Transport and communication]]</f>
        <v>129.30000000000001</v>
      </c>
      <c r="AH26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1030.2</v>
      </c>
      <c r="AI267">
        <f>Table1__2[[#This Row],[Miscellaneous]]+Table1__2[[#This Row],[Pan, tobacco and intoxicants]]</f>
        <v>328.7</v>
      </c>
      <c r="AJ267" s="1">
        <f>Table1__2[[#This Row],[Housing]]+Table1__2[[#This Row],[Household goods and services]]</f>
        <v>295.10000000000002</v>
      </c>
    </row>
    <row r="268" spans="1:36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1966.8000000000002</v>
      </c>
      <c r="AF268">
        <f>Table1__2[[#This Row],[Fuel and light]]</f>
        <v>141.9</v>
      </c>
      <c r="AG268">
        <f>Table1__2[[#This Row],[Transport and communication]]</f>
        <v>135</v>
      </c>
      <c r="AH26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1059</v>
      </c>
      <c r="AI268">
        <f>Table1__2[[#This Row],[Miscellaneous]]+Table1__2[[#This Row],[Pan, tobacco and intoxicants]]</f>
        <v>330.5</v>
      </c>
      <c r="AJ268" s="1">
        <f>Table1__2[[#This Row],[Housing]]+Table1__2[[#This Row],[Household goods and services]]</f>
        <v>301.10000000000002</v>
      </c>
    </row>
    <row r="269" spans="1:36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s="62">
        <v>139.26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1951</v>
      </c>
      <c r="AF269">
        <f>Table1__2[[#This Row],[Fuel and light]]</f>
        <v>144.9</v>
      </c>
      <c r="AG269">
        <f>Table1__2[[#This Row],[Transport and communication]]</f>
        <v>141.4</v>
      </c>
      <c r="AH26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1083.2</v>
      </c>
      <c r="AI269">
        <f>Table1__2[[#This Row],[Miscellaneous]]+Table1__2[[#This Row],[Pan, tobacco and intoxicants]]</f>
        <v>334.1</v>
      </c>
      <c r="AJ269" s="1">
        <f>Table1__2[[#This Row],[Housing]]+Table1__2[[#This Row],[Household goods and services]]</f>
        <v>290.95999999999998</v>
      </c>
    </row>
    <row r="270" spans="1:36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1994.9999999999998</v>
      </c>
      <c r="AF270">
        <f>Table1__2[[#This Row],[Fuel and light]]</f>
        <v>137.1</v>
      </c>
      <c r="AG270">
        <f>Table1__2[[#This Row],[Transport and communication]]</f>
        <v>129.30000000000001</v>
      </c>
      <c r="AH27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1030.2</v>
      </c>
      <c r="AI270">
        <f>Table1__2[[#This Row],[Miscellaneous]]+Table1__2[[#This Row],[Pan, tobacco and intoxicants]]</f>
        <v>328.7</v>
      </c>
      <c r="AJ270" s="1">
        <f>Table1__2[[#This Row],[Housing]]+Table1__2[[#This Row],[Household goods and services]]</f>
        <v>295.10000000000002</v>
      </c>
    </row>
    <row r="271" spans="1:36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1966.8000000000002</v>
      </c>
      <c r="AF271">
        <f>Table1__2[[#This Row],[Fuel and light]]</f>
        <v>141.9</v>
      </c>
      <c r="AG271">
        <f>Table1__2[[#This Row],[Transport and communication]]</f>
        <v>135</v>
      </c>
      <c r="AH27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1059</v>
      </c>
      <c r="AI271">
        <f>Table1__2[[#This Row],[Miscellaneous]]+Table1__2[[#This Row],[Pan, tobacco and intoxicants]]</f>
        <v>330.5</v>
      </c>
      <c r="AJ271" s="1">
        <f>Table1__2[[#This Row],[Housing]]+Table1__2[[#This Row],[Household goods and services]]</f>
        <v>301.10000000000002</v>
      </c>
    </row>
    <row r="272" spans="1:36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s="62">
        <v>139.26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1978.6</v>
      </c>
      <c r="AF272">
        <f>Table1__2[[#This Row],[Fuel and light]]</f>
        <v>145.80000000000001</v>
      </c>
      <c r="AG272">
        <f>Table1__2[[#This Row],[Transport and communication]]</f>
        <v>143.6</v>
      </c>
      <c r="AH27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1086</v>
      </c>
      <c r="AI272">
        <f>Table1__2[[#This Row],[Miscellaneous]]+Table1__2[[#This Row],[Pan, tobacco and intoxicants]]</f>
        <v>333.9</v>
      </c>
      <c r="AJ272" s="1">
        <f>Table1__2[[#This Row],[Housing]]+Table1__2[[#This Row],[Household goods and services]]</f>
        <v>291.15999999999997</v>
      </c>
    </row>
    <row r="273" spans="1:36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2024.8999999999999</v>
      </c>
      <c r="AF273">
        <f>Table1__2[[#This Row],[Fuel and light]]</f>
        <v>138.30000000000001</v>
      </c>
      <c r="AG273">
        <f>Table1__2[[#This Row],[Transport and communication]]</f>
        <v>133.9</v>
      </c>
      <c r="AH27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1033.5999999999999</v>
      </c>
      <c r="AI273">
        <f>Table1__2[[#This Row],[Miscellaneous]]+Table1__2[[#This Row],[Pan, tobacco and intoxicants]]</f>
        <v>332</v>
      </c>
      <c r="AJ273" s="1">
        <f>Table1__2[[#This Row],[Housing]]+Table1__2[[#This Row],[Household goods and services]]</f>
        <v>300</v>
      </c>
    </row>
    <row r="274" spans="1:36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1995.1999999999998</v>
      </c>
      <c r="AF274">
        <f>Table1__2[[#This Row],[Fuel and light]]</f>
        <v>143</v>
      </c>
      <c r="AG274">
        <f>Table1__2[[#This Row],[Transport and communication]]</f>
        <v>138.5</v>
      </c>
      <c r="AH27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1062</v>
      </c>
      <c r="AI274">
        <f>Table1__2[[#This Row],[Miscellaneous]]+Table1__2[[#This Row],[Pan, tobacco and intoxicants]]</f>
        <v>331.6</v>
      </c>
      <c r="AJ274" s="1">
        <f>Table1__2[[#This Row],[Housing]]+Table1__2[[#This Row],[Household goods and services]]</f>
        <v>303.89999999999998</v>
      </c>
    </row>
    <row r="275" spans="1:36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s="62">
        <v>139.26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1987.3999999999999</v>
      </c>
      <c r="AF275">
        <f>Table1__2[[#This Row],[Fuel and light]]</f>
        <v>146.4</v>
      </c>
      <c r="AG275">
        <f>Table1__2[[#This Row],[Transport and communication]]</f>
        <v>144.6</v>
      </c>
      <c r="AH27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1090.3</v>
      </c>
      <c r="AI275">
        <f>Table1__2[[#This Row],[Miscellaneous]]+Table1__2[[#This Row],[Pan, tobacco and intoxicants]]</f>
        <v>336.6</v>
      </c>
      <c r="AJ275" s="1">
        <f>Table1__2[[#This Row],[Housing]]+Table1__2[[#This Row],[Household goods and services]]</f>
        <v>290.86</v>
      </c>
    </row>
    <row r="276" spans="1:36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2041.6000000000001</v>
      </c>
      <c r="AF276">
        <f>Table1__2[[#This Row],[Fuel and light]]</f>
        <v>137.19999999999999</v>
      </c>
      <c r="AG276">
        <f>Table1__2[[#This Row],[Transport and communication]]</f>
        <v>135.1</v>
      </c>
      <c r="AH27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1041.1000000000001</v>
      </c>
      <c r="AI276">
        <f>Table1__2[[#This Row],[Miscellaneous]]+Table1__2[[#This Row],[Pan, tobacco and intoxicants]]</f>
        <v>334.7</v>
      </c>
      <c r="AJ276" s="1">
        <f>Table1__2[[#This Row],[Housing]]+Table1__2[[#This Row],[Household goods and services]]</f>
        <v>301.70000000000005</v>
      </c>
    </row>
    <row r="277" spans="1:36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2007</v>
      </c>
      <c r="AF277">
        <f>Table1__2[[#This Row],[Fuel and light]]</f>
        <v>142.9</v>
      </c>
      <c r="AG277">
        <f>Table1__2[[#This Row],[Transport and communication]]</f>
        <v>139.6</v>
      </c>
      <c r="AH27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1067.8</v>
      </c>
      <c r="AI277">
        <f>Table1__2[[#This Row],[Miscellaneous]]+Table1__2[[#This Row],[Pan, tobacco and intoxicants]]</f>
        <v>334.4</v>
      </c>
      <c r="AJ277" s="1">
        <f>Table1__2[[#This Row],[Housing]]+Table1__2[[#This Row],[Household goods and services]]</f>
        <v>305</v>
      </c>
    </row>
    <row r="278" spans="1:36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s="62">
        <v>139.26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2030.9</v>
      </c>
      <c r="AF278">
        <f>Table1__2[[#This Row],[Fuel and light]]</f>
        <v>146.80000000000001</v>
      </c>
      <c r="AG278">
        <f>Table1__2[[#This Row],[Transport and communication]]</f>
        <v>146.4</v>
      </c>
      <c r="AH27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1091.9000000000001</v>
      </c>
      <c r="AI278">
        <f>Table1__2[[#This Row],[Miscellaneous]]+Table1__2[[#This Row],[Pan, tobacco and intoxicants]]</f>
        <v>337</v>
      </c>
      <c r="AJ278" s="1">
        <f>Table1__2[[#This Row],[Housing]]+Table1__2[[#This Row],[Household goods and services]]</f>
        <v>291.26</v>
      </c>
    </row>
    <row r="279" spans="1:36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2080.1999999999998</v>
      </c>
      <c r="AF279">
        <f>Table1__2[[#This Row],[Fuel and light]]</f>
        <v>137.1</v>
      </c>
      <c r="AG279">
        <f>Table1__2[[#This Row],[Transport and communication]]</f>
        <v>135.4</v>
      </c>
      <c r="AH27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1041.7</v>
      </c>
      <c r="AI279">
        <f>Table1__2[[#This Row],[Miscellaneous]]+Table1__2[[#This Row],[Pan, tobacco and intoxicants]]</f>
        <v>334.9</v>
      </c>
      <c r="AJ279" s="1">
        <f>Table1__2[[#This Row],[Housing]]+Table1__2[[#This Row],[Household goods and services]]</f>
        <v>301.60000000000002</v>
      </c>
    </row>
    <row r="280" spans="1:36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2048.6000000000004</v>
      </c>
      <c r="AF280">
        <f>Table1__2[[#This Row],[Fuel and light]]</f>
        <v>143.1</v>
      </c>
      <c r="AG280">
        <f>Table1__2[[#This Row],[Transport and communication]]</f>
        <v>140.6</v>
      </c>
      <c r="AH28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1068.9000000000001</v>
      </c>
      <c r="AI280">
        <f>Table1__2[[#This Row],[Miscellaneous]]+Table1__2[[#This Row],[Pan, tobacco and intoxicants]]</f>
        <v>334.70000000000005</v>
      </c>
      <c r="AJ280" s="1">
        <f>Table1__2[[#This Row],[Housing]]+Table1__2[[#This Row],[Household goods and services]]</f>
        <v>305.2</v>
      </c>
    </row>
    <row r="281" spans="1:36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s="62">
        <v>139.26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2082.4</v>
      </c>
      <c r="AF281">
        <f>Table1__2[[#This Row],[Fuel and light]]</f>
        <v>147.5</v>
      </c>
      <c r="AG281">
        <f>Table1__2[[#This Row],[Transport and communication]]</f>
        <v>146.1</v>
      </c>
      <c r="AH28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1094.5999999999999</v>
      </c>
      <c r="AI281">
        <f>Table1__2[[#This Row],[Miscellaneous]]+Table1__2[[#This Row],[Pan, tobacco and intoxicants]]</f>
        <v>337.9</v>
      </c>
      <c r="AJ281" s="1">
        <f>Table1__2[[#This Row],[Housing]]+Table1__2[[#This Row],[Household goods and services]]</f>
        <v>292.06</v>
      </c>
    </row>
    <row r="282" spans="1:36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2120.6999999999998</v>
      </c>
      <c r="AF282">
        <f>Table1__2[[#This Row],[Fuel and light]]</f>
        <v>137.30000000000001</v>
      </c>
      <c r="AG282">
        <f>Table1__2[[#This Row],[Transport and communication]]</f>
        <v>135.19999999999999</v>
      </c>
      <c r="AH28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1047</v>
      </c>
      <c r="AI282">
        <f>Table1__2[[#This Row],[Miscellaneous]]+Table1__2[[#This Row],[Pan, tobacco and intoxicants]]</f>
        <v>335.4</v>
      </c>
      <c r="AJ282" s="1">
        <f>Table1__2[[#This Row],[Housing]]+Table1__2[[#This Row],[Household goods and services]]</f>
        <v>303.10000000000002</v>
      </c>
    </row>
    <row r="283" spans="1:36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2095.6</v>
      </c>
      <c r="AF283">
        <f>Table1__2[[#This Row],[Fuel and light]]</f>
        <v>143.6</v>
      </c>
      <c r="AG283">
        <f>Table1__2[[#This Row],[Transport and communication]]</f>
        <v>140.4</v>
      </c>
      <c r="AH28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1073.0999999999999</v>
      </c>
      <c r="AI283">
        <f>Table1__2[[#This Row],[Miscellaneous]]+Table1__2[[#This Row],[Pan, tobacco and intoxicants]]</f>
        <v>335.5</v>
      </c>
      <c r="AJ283" s="1">
        <f>Table1__2[[#This Row],[Housing]]+Table1__2[[#This Row],[Household goods and services]]</f>
        <v>307.2</v>
      </c>
    </row>
    <row r="284" spans="1:36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s="62">
        <v>139.26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2100.5</v>
      </c>
      <c r="AF284">
        <f>Table1__2[[#This Row],[Fuel and light]]</f>
        <v>148.69999999999999</v>
      </c>
      <c r="AG284">
        <f>Table1__2[[#This Row],[Transport and communication]]</f>
        <v>146.4</v>
      </c>
      <c r="AH28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1099.9000000000001</v>
      </c>
      <c r="AI284">
        <f>Table1__2[[#This Row],[Miscellaneous]]+Table1__2[[#This Row],[Pan, tobacco and intoxicants]]</f>
        <v>338.79999999999995</v>
      </c>
      <c r="AJ284" s="1">
        <f>Table1__2[[#This Row],[Housing]]+Table1__2[[#This Row],[Household goods and services]]</f>
        <v>292.65999999999997</v>
      </c>
    </row>
    <row r="285" spans="1:36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2125.4</v>
      </c>
      <c r="AF285">
        <f>Table1__2[[#This Row],[Fuel and light]]</f>
        <v>137.9</v>
      </c>
      <c r="AG285">
        <f>Table1__2[[#This Row],[Transport and communication]]</f>
        <v>135.5</v>
      </c>
      <c r="AH28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1050.2</v>
      </c>
      <c r="AI285">
        <f>Table1__2[[#This Row],[Miscellaneous]]+Table1__2[[#This Row],[Pan, tobacco and intoxicants]]</f>
        <v>337.1</v>
      </c>
      <c r="AJ285" s="1">
        <f>Table1__2[[#This Row],[Housing]]+Table1__2[[#This Row],[Household goods and services]]</f>
        <v>303.89999999999998</v>
      </c>
    </row>
    <row r="286" spans="1:36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2109.1</v>
      </c>
      <c r="AF286">
        <f>Table1__2[[#This Row],[Fuel and light]]</f>
        <v>144.6</v>
      </c>
      <c r="AG286">
        <f>Table1__2[[#This Row],[Transport and communication]]</f>
        <v>140.69999999999999</v>
      </c>
      <c r="AH28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1077.3</v>
      </c>
      <c r="AI286">
        <f>Table1__2[[#This Row],[Miscellaneous]]+Table1__2[[#This Row],[Pan, tobacco and intoxicants]]</f>
        <v>336.6</v>
      </c>
      <c r="AJ286" s="1">
        <f>Table1__2[[#This Row],[Housing]]+Table1__2[[#This Row],[Household goods and services]]</f>
        <v>308.10000000000002</v>
      </c>
    </row>
    <row r="287" spans="1:36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s="62">
        <v>139.26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2065.6999999999998</v>
      </c>
      <c r="AF287">
        <f>Table1__2[[#This Row],[Fuel and light]]</f>
        <v>150.9</v>
      </c>
      <c r="AG287">
        <f>Table1__2[[#This Row],[Transport and communication]]</f>
        <v>147.5</v>
      </c>
      <c r="AH28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1104</v>
      </c>
      <c r="AI287">
        <f>Table1__2[[#This Row],[Miscellaneous]]+Table1__2[[#This Row],[Pan, tobacco and intoxicants]]</f>
        <v>340.5</v>
      </c>
      <c r="AJ287" s="1">
        <f>Table1__2[[#This Row],[Housing]]+Table1__2[[#This Row],[Household goods and services]]</f>
        <v>293.15999999999997</v>
      </c>
    </row>
    <row r="288" spans="1:36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2097</v>
      </c>
      <c r="AF288">
        <f>Table1__2[[#This Row],[Fuel and light]]</f>
        <v>142.9</v>
      </c>
      <c r="AG288">
        <f>Table1__2[[#This Row],[Transport and communication]]</f>
        <v>136.9</v>
      </c>
      <c r="AH28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1053.3</v>
      </c>
      <c r="AI288">
        <f>Table1__2[[#This Row],[Miscellaneous]]+Table1__2[[#This Row],[Pan, tobacco and intoxicants]]</f>
        <v>339.4</v>
      </c>
      <c r="AJ288" s="1">
        <f>Table1__2[[#This Row],[Housing]]+Table1__2[[#This Row],[Household goods and services]]</f>
        <v>303.39999999999998</v>
      </c>
    </row>
    <row r="289" spans="1:36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2076.5</v>
      </c>
      <c r="AF289">
        <f>Table1__2[[#This Row],[Fuel and light]]</f>
        <v>147.9</v>
      </c>
      <c r="AG289">
        <f>Table1__2[[#This Row],[Transport and communication]]</f>
        <v>141.9</v>
      </c>
      <c r="AH28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1080.7</v>
      </c>
      <c r="AI289">
        <f>Table1__2[[#This Row],[Miscellaneous]]+Table1__2[[#This Row],[Pan, tobacco and intoxicants]]</f>
        <v>338.4</v>
      </c>
      <c r="AJ289" s="1">
        <f>Table1__2[[#This Row],[Housing]]+Table1__2[[#This Row],[Household goods and services]]</f>
        <v>307.7</v>
      </c>
    </row>
    <row r="290" spans="1:36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s="62">
        <v>139.26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2025.3</v>
      </c>
      <c r="AF290">
        <f>Table1__2[[#This Row],[Fuel and light]]</f>
        <v>154.4</v>
      </c>
      <c r="AG290">
        <f>Table1__2[[#This Row],[Transport and communication]]</f>
        <v>150.19999999999999</v>
      </c>
      <c r="AH29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1111.5</v>
      </c>
      <c r="AI290">
        <f>Table1__2[[#This Row],[Miscellaneous]]+Table1__2[[#This Row],[Pan, tobacco and intoxicants]]</f>
        <v>343.7</v>
      </c>
      <c r="AJ290" s="1">
        <f>Table1__2[[#This Row],[Housing]]+Table1__2[[#This Row],[Household goods and services]]</f>
        <v>294.06</v>
      </c>
    </row>
    <row r="291" spans="1:36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2066</v>
      </c>
      <c r="AF291">
        <f>Table1__2[[#This Row],[Fuel and light]]</f>
        <v>149.1</v>
      </c>
      <c r="AG291">
        <f>Table1__2[[#This Row],[Transport and communication]]</f>
        <v>140.5</v>
      </c>
      <c r="AH29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1061.0999999999999</v>
      </c>
      <c r="AI291">
        <f>Table1__2[[#This Row],[Miscellaneous]]+Table1__2[[#This Row],[Pan, tobacco and intoxicants]]</f>
        <v>342.6</v>
      </c>
      <c r="AJ291" s="1">
        <f>Table1__2[[#This Row],[Housing]]+Table1__2[[#This Row],[Household goods and services]]</f>
        <v>306.3</v>
      </c>
    </row>
    <row r="292" spans="1:36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2039.3000000000002</v>
      </c>
      <c r="AF292">
        <f>Table1__2[[#This Row],[Fuel and light]]</f>
        <v>152.4</v>
      </c>
      <c r="AG292">
        <f>Table1__2[[#This Row],[Transport and communication]]</f>
        <v>145.1</v>
      </c>
      <c r="AH29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1088.5</v>
      </c>
      <c r="AI292">
        <f>Table1__2[[#This Row],[Miscellaneous]]+Table1__2[[#This Row],[Pan, tobacco and intoxicants]]</f>
        <v>341.70000000000005</v>
      </c>
      <c r="AJ292" s="1">
        <f>Table1__2[[#This Row],[Housing]]+Table1__2[[#This Row],[Household goods and services]]</f>
        <v>310.70000000000005</v>
      </c>
    </row>
    <row r="293" spans="1:36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s="62">
        <v>139.26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2025.7</v>
      </c>
      <c r="AF293">
        <f>Table1__2[[#This Row],[Fuel and light]]</f>
        <v>156</v>
      </c>
      <c r="AG293">
        <f>Table1__2[[#This Row],[Transport and communication]]</f>
        <v>151.30000000000001</v>
      </c>
      <c r="AH29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1112.2</v>
      </c>
      <c r="AI293">
        <f>Table1__2[[#This Row],[Miscellaneous]]+Table1__2[[#This Row],[Pan, tobacco and intoxicants]]</f>
        <v>343.4</v>
      </c>
      <c r="AJ293" s="1">
        <f>Table1__2[[#This Row],[Housing]]+Table1__2[[#This Row],[Household goods and services]]</f>
        <v>294.06</v>
      </c>
    </row>
    <row r="294" spans="1:36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2064.4999999999995</v>
      </c>
      <c r="AF294">
        <f>Table1__2[[#This Row],[Fuel and light]]</f>
        <v>154.80000000000001</v>
      </c>
      <c r="AG294">
        <f>Table1__2[[#This Row],[Transport and communication]]</f>
        <v>141.69999999999999</v>
      </c>
      <c r="AH29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1064.3999999999999</v>
      </c>
      <c r="AI294">
        <f>Table1__2[[#This Row],[Miscellaneous]]+Table1__2[[#This Row],[Pan, tobacco and intoxicants]]</f>
        <v>343.5</v>
      </c>
      <c r="AJ294" s="1">
        <f>Table1__2[[#This Row],[Housing]]+Table1__2[[#This Row],[Household goods and services]]</f>
        <v>307.10000000000002</v>
      </c>
    </row>
    <row r="295" spans="1:36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2039.3999999999999</v>
      </c>
      <c r="AF295">
        <f>Table1__2[[#This Row],[Fuel and light]]</f>
        <v>155.5</v>
      </c>
      <c r="AG295">
        <f>Table1__2[[#This Row],[Transport and communication]]</f>
        <v>146.19999999999999</v>
      </c>
      <c r="AH29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1090.3999999999999</v>
      </c>
      <c r="AI295">
        <f>Table1__2[[#This Row],[Miscellaneous]]+Table1__2[[#This Row],[Pan, tobacco and intoxicants]]</f>
        <v>341.9</v>
      </c>
      <c r="AJ295" s="1">
        <f>Table1__2[[#This Row],[Housing]]+Table1__2[[#This Row],[Household goods and services]]</f>
        <v>311.10000000000002</v>
      </c>
    </row>
    <row r="296" spans="1:36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s="62">
        <v>139.26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2049.5</v>
      </c>
      <c r="AF296">
        <f>Table1__2[[#This Row],[Fuel and light]]</f>
        <v>156</v>
      </c>
      <c r="AG296">
        <f>Table1__2[[#This Row],[Transport and communication]]</f>
        <v>151.69999999999999</v>
      </c>
      <c r="AH29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1118.3000000000002</v>
      </c>
      <c r="AI296">
        <f>Table1__2[[#This Row],[Miscellaneous]]+Table1__2[[#This Row],[Pan, tobacco and intoxicants]]</f>
        <v>344.8</v>
      </c>
      <c r="AJ296" s="1">
        <f>Table1__2[[#This Row],[Housing]]+Table1__2[[#This Row],[Household goods and services]]</f>
        <v>294.76</v>
      </c>
    </row>
    <row r="297" spans="1:36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2089.6</v>
      </c>
      <c r="AF297">
        <f>Table1__2[[#This Row],[Fuel and light]]</f>
        <v>154.9</v>
      </c>
      <c r="AG297">
        <f>Table1__2[[#This Row],[Transport and communication]]</f>
        <v>142.1</v>
      </c>
      <c r="AH29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1069.3999999999999</v>
      </c>
      <c r="AI297">
        <f>Table1__2[[#This Row],[Miscellaneous]]+Table1__2[[#This Row],[Pan, tobacco and intoxicants]]</f>
        <v>344.9</v>
      </c>
      <c r="AJ297" s="1">
        <f>Table1__2[[#This Row],[Housing]]+Table1__2[[#This Row],[Household goods and services]]</f>
        <v>309</v>
      </c>
    </row>
    <row r="298" spans="1:36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2064.1</v>
      </c>
      <c r="AF298">
        <f>Table1__2[[#This Row],[Fuel and light]]</f>
        <v>155.6</v>
      </c>
      <c r="AG298">
        <f>Table1__2[[#This Row],[Transport and communication]]</f>
        <v>146.6</v>
      </c>
      <c r="AH29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1095.8</v>
      </c>
      <c r="AI298">
        <f>Table1__2[[#This Row],[Miscellaneous]]+Table1__2[[#This Row],[Pan, tobacco and intoxicants]]</f>
        <v>343.20000000000005</v>
      </c>
      <c r="AJ298" s="1">
        <f>Table1__2[[#This Row],[Housing]]+Table1__2[[#This Row],[Household goods and services]]</f>
        <v>313.20000000000005</v>
      </c>
    </row>
    <row r="299" spans="1:36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s="62">
        <v>139.26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2095.2999999999997</v>
      </c>
      <c r="AF299">
        <f>Table1__2[[#This Row],[Fuel and light]]</f>
        <v>161.69999999999999</v>
      </c>
      <c r="AG299">
        <f>Table1__2[[#This Row],[Transport and communication]]</f>
        <v>153.19999999999999</v>
      </c>
      <c r="AH29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1146.4000000000001</v>
      </c>
      <c r="AI299">
        <f>Table1__2[[#This Row],[Miscellaneous]]+Table1__2[[#This Row],[Pan, tobacco and intoxicants]]</f>
        <v>350.7</v>
      </c>
      <c r="AJ299" s="1">
        <f>Table1__2[[#This Row],[Housing]]+Table1__2[[#This Row],[Household goods and services]]</f>
        <v>298.06</v>
      </c>
    </row>
    <row r="300" spans="1:36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2124.7000000000003</v>
      </c>
      <c r="AF300">
        <f>Table1__2[[#This Row],[Fuel and light]]</f>
        <v>155.5</v>
      </c>
      <c r="AG300">
        <f>Table1__2[[#This Row],[Transport and communication]]</f>
        <v>145</v>
      </c>
      <c r="AH30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1077.8999999999999</v>
      </c>
      <c r="AI300">
        <f>Table1__2[[#This Row],[Miscellaneous]]+Table1__2[[#This Row],[Pan, tobacco and intoxicants]]</f>
        <v>350.5</v>
      </c>
      <c r="AJ300" s="1">
        <f>Table1__2[[#This Row],[Housing]]+Table1__2[[#This Row],[Household goods and services]]</f>
        <v>311.7</v>
      </c>
    </row>
    <row r="301" spans="1:36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2105.7000000000003</v>
      </c>
      <c r="AF301">
        <f>Table1__2[[#This Row],[Fuel and light]]</f>
        <v>159.4</v>
      </c>
      <c r="AG301">
        <f>Table1__2[[#This Row],[Transport and communication]]</f>
        <v>148.9</v>
      </c>
      <c r="AH30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1115.6999999999998</v>
      </c>
      <c r="AI301">
        <f>Table1__2[[#This Row],[Miscellaneous]]+Table1__2[[#This Row],[Pan, tobacco and intoxicants]]</f>
        <v>348.70000000000005</v>
      </c>
      <c r="AJ301" s="1">
        <f>Table1__2[[#This Row],[Housing]]+Table1__2[[#This Row],[Household goods and services]]</f>
        <v>316.29999999999995</v>
      </c>
    </row>
    <row r="302" spans="1:36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s="62">
        <v>139.26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2122.6</v>
      </c>
      <c r="AF302">
        <f>Table1__2[[#This Row],[Fuel and light]]</f>
        <v>162.1</v>
      </c>
      <c r="AG302">
        <f>Table1__2[[#This Row],[Transport and communication]]</f>
        <v>154.19999999999999</v>
      </c>
      <c r="AH30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1146.0999999999999</v>
      </c>
      <c r="AI302">
        <f>Table1__2[[#This Row],[Miscellaneous]]+Table1__2[[#This Row],[Pan, tobacco and intoxicants]]</f>
        <v>350.6</v>
      </c>
      <c r="AJ302" s="1">
        <f>Table1__2[[#This Row],[Housing]]+Table1__2[[#This Row],[Household goods and services]]</f>
        <v>298.45999999999998</v>
      </c>
    </row>
    <row r="303" spans="1:36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2154.1999999999998</v>
      </c>
      <c r="AF303">
        <f>Table1__2[[#This Row],[Fuel and light]]</f>
        <v>156.1</v>
      </c>
      <c r="AG303">
        <f>Table1__2[[#This Row],[Transport and communication]]</f>
        <v>147.5</v>
      </c>
      <c r="AH30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1080.1999999999998</v>
      </c>
      <c r="AI303">
        <f>Table1__2[[#This Row],[Miscellaneous]]+Table1__2[[#This Row],[Pan, tobacco and intoxicants]]</f>
        <v>349</v>
      </c>
      <c r="AJ303" s="1">
        <f>Table1__2[[#This Row],[Housing]]+Table1__2[[#This Row],[Household goods and services]]</f>
        <v>310.3</v>
      </c>
    </row>
    <row r="304" spans="1:36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2133.9</v>
      </c>
      <c r="AF304">
        <f>Table1__2[[#This Row],[Fuel and light]]</f>
        <v>159.80000000000001</v>
      </c>
      <c r="AG304">
        <f>Table1__2[[#This Row],[Transport and communication]]</f>
        <v>150.69999999999999</v>
      </c>
      <c r="AH30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1116.4000000000001</v>
      </c>
      <c r="AI304">
        <f>Table1__2[[#This Row],[Miscellaneous]]+Table1__2[[#This Row],[Pan, tobacco and intoxicants]]</f>
        <v>348.4</v>
      </c>
      <c r="AJ304" s="1">
        <f>Table1__2[[#This Row],[Housing]]+Table1__2[[#This Row],[Household goods and services]]</f>
        <v>315.3</v>
      </c>
    </row>
    <row r="305" spans="1:36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s="62">
        <v>139.26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2132.4</v>
      </c>
      <c r="AF305">
        <f>Table1__2[[#This Row],[Fuel and light]]</f>
        <v>162.5</v>
      </c>
      <c r="AG305">
        <f>Table1__2[[#This Row],[Transport and communication]]</f>
        <v>157.1</v>
      </c>
      <c r="AH30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1151.1000000000001</v>
      </c>
      <c r="AI305">
        <f>Table1__2[[#This Row],[Miscellaneous]]+Table1__2[[#This Row],[Pan, tobacco and intoxicants]]</f>
        <v>352.5</v>
      </c>
      <c r="AJ305" s="1">
        <f>Table1__2[[#This Row],[Housing]]+Table1__2[[#This Row],[Household goods and services]]</f>
        <v>299.56</v>
      </c>
    </row>
    <row r="306" spans="1:36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2171.8000000000002</v>
      </c>
      <c r="AF306">
        <f>Table1__2[[#This Row],[Fuel and light]]</f>
        <v>157.69999999999999</v>
      </c>
      <c r="AG306">
        <f>Table1__2[[#This Row],[Transport and communication]]</f>
        <v>149.5</v>
      </c>
      <c r="AH30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1087.8999999999999</v>
      </c>
      <c r="AI306">
        <f>Table1__2[[#This Row],[Miscellaneous]]+Table1__2[[#This Row],[Pan, tobacco and intoxicants]]</f>
        <v>350.5</v>
      </c>
      <c r="AJ306" s="1">
        <f>Table1__2[[#This Row],[Housing]]+Table1__2[[#This Row],[Household goods and services]]</f>
        <v>312.2</v>
      </c>
    </row>
    <row r="307" spans="1:36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2147</v>
      </c>
      <c r="AF307">
        <f>Table1__2[[#This Row],[Fuel and light]]</f>
        <v>160.69999999999999</v>
      </c>
      <c r="AG307">
        <f>Table1__2[[#This Row],[Transport and communication]]</f>
        <v>153.1</v>
      </c>
      <c r="AH30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1122.8999999999999</v>
      </c>
      <c r="AI307">
        <f>Table1__2[[#This Row],[Miscellaneous]]+Table1__2[[#This Row],[Pan, tobacco and intoxicants]]</f>
        <v>350.2</v>
      </c>
      <c r="AJ307" s="1">
        <f>Table1__2[[#This Row],[Housing]]+Table1__2[[#This Row],[Household goods and services]]</f>
        <v>317.3</v>
      </c>
    </row>
    <row r="308" spans="1:36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s="62">
        <v>139.26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2130.8000000000002</v>
      </c>
      <c r="AF308">
        <f>Table1__2[[#This Row],[Fuel and light]]</f>
        <v>163.1</v>
      </c>
      <c r="AG308">
        <f>Table1__2[[#This Row],[Transport and communication]]</f>
        <v>157.69999999999999</v>
      </c>
      <c r="AH30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1155.9000000000001</v>
      </c>
      <c r="AI308">
        <f>Table1__2[[#This Row],[Miscellaneous]]+Table1__2[[#This Row],[Pan, tobacco and intoxicants]]</f>
        <v>353.5</v>
      </c>
      <c r="AJ308" s="1">
        <f>Table1__2[[#This Row],[Housing]]+Table1__2[[#This Row],[Household goods and services]]</f>
        <v>300.15999999999997</v>
      </c>
    </row>
    <row r="309" spans="1:36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2157.9</v>
      </c>
      <c r="AF309">
        <f>Table1__2[[#This Row],[Fuel and light]]</f>
        <v>160.69999999999999</v>
      </c>
      <c r="AG309">
        <f>Table1__2[[#This Row],[Transport and communication]]</f>
        <v>150.4</v>
      </c>
      <c r="AH30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1097.2</v>
      </c>
      <c r="AI309">
        <f>Table1__2[[#This Row],[Miscellaneous]]+Table1__2[[#This Row],[Pan, tobacco and intoxicants]]</f>
        <v>352.5</v>
      </c>
      <c r="AJ309" s="1">
        <f>Table1__2[[#This Row],[Housing]]+Table1__2[[#This Row],[Household goods and services]]</f>
        <v>315.29999999999995</v>
      </c>
    </row>
    <row r="310" spans="1:36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2142</v>
      </c>
      <c r="AF310">
        <f>Table1__2[[#This Row],[Fuel and light]]</f>
        <v>162.6</v>
      </c>
      <c r="AG310">
        <f>Table1__2[[#This Row],[Transport and communication]]</f>
        <v>154</v>
      </c>
      <c r="AH31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1132.8</v>
      </c>
      <c r="AI310">
        <f>Table1__2[[#This Row],[Miscellaneous]]+Table1__2[[#This Row],[Pan, tobacco and intoxicants]]</f>
        <v>352.1</v>
      </c>
      <c r="AJ310" s="1">
        <f>Table1__2[[#This Row],[Housing]]+Table1__2[[#This Row],[Household goods and services]]</f>
        <v>319.60000000000002</v>
      </c>
    </row>
    <row r="311" spans="1:36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s="62">
        <v>139.26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2133.6</v>
      </c>
      <c r="AF311">
        <f>Table1__2[[#This Row],[Fuel and light]]</f>
        <v>163.69999999999999</v>
      </c>
      <c r="AG311">
        <f>Table1__2[[#This Row],[Transport and communication]]</f>
        <v>157.80000000000001</v>
      </c>
      <c r="AH31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1161.6999999999998</v>
      </c>
      <c r="AI311">
        <f>Table1__2[[#This Row],[Miscellaneous]]+Table1__2[[#This Row],[Pan, tobacco and intoxicants]]</f>
        <v>354.3</v>
      </c>
      <c r="AJ311" s="1">
        <f>Table1__2[[#This Row],[Housing]]+Table1__2[[#This Row],[Household goods and services]]</f>
        <v>300.56</v>
      </c>
    </row>
    <row r="312" spans="1:36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2157.9</v>
      </c>
      <c r="AF312">
        <f>Table1__2[[#This Row],[Fuel and light]]</f>
        <v>160.80000000000001</v>
      </c>
      <c r="AG312">
        <f>Table1__2[[#This Row],[Transport and communication]]</f>
        <v>150.5</v>
      </c>
      <c r="AH31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1097.4000000000001</v>
      </c>
      <c r="AI312">
        <f>Table1__2[[#This Row],[Miscellaneous]]+Table1__2[[#This Row],[Pan, tobacco and intoxicants]]</f>
        <v>352.5</v>
      </c>
      <c r="AJ312" s="1">
        <f>Table1__2[[#This Row],[Housing]]+Table1__2[[#This Row],[Household goods and services]]</f>
        <v>315.39999999999998</v>
      </c>
    </row>
    <row r="313" spans="1:36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2142</v>
      </c>
      <c r="AF313">
        <f>Table1__2[[#This Row],[Fuel and light]]</f>
        <v>162.6</v>
      </c>
      <c r="AG313">
        <f>Table1__2[[#This Row],[Transport and communication]]</f>
        <v>154</v>
      </c>
      <c r="AH31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1133</v>
      </c>
      <c r="AI313">
        <f>Table1__2[[#This Row],[Miscellaneous]]+Table1__2[[#This Row],[Pan, tobacco and intoxicants]]</f>
        <v>352.1</v>
      </c>
      <c r="AJ313" s="1">
        <f>Table1__2[[#This Row],[Housing]]+Table1__2[[#This Row],[Household goods and services]]</f>
        <v>319.60000000000002</v>
      </c>
    </row>
    <row r="314" spans="1:36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s="62">
        <v>139.26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2164.1999999999998</v>
      </c>
      <c r="AF314">
        <f>Table1__2[[#This Row],[Fuel and light]]</f>
        <v>165.5</v>
      </c>
      <c r="AG314">
        <f>Table1__2[[#This Row],[Transport and communication]]</f>
        <v>159.5</v>
      </c>
      <c r="AH31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1167.8</v>
      </c>
      <c r="AI314">
        <f>Table1__2[[#This Row],[Miscellaneous]]+Table1__2[[#This Row],[Pan, tobacco and intoxicants]]</f>
        <v>355.9</v>
      </c>
      <c r="AJ314" s="1">
        <f>Table1__2[[#This Row],[Housing]]+Table1__2[[#This Row],[Household goods and services]]</f>
        <v>301.26</v>
      </c>
    </row>
    <row r="315" spans="1:36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2198.4000000000005</v>
      </c>
      <c r="AF315">
        <f>Table1__2[[#This Row],[Fuel and light]]</f>
        <v>162.19999999999999</v>
      </c>
      <c r="AG315">
        <f>Table1__2[[#This Row],[Transport and communication]]</f>
        <v>152.19999999999999</v>
      </c>
      <c r="AH31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1102.7</v>
      </c>
      <c r="AI315">
        <f>Table1__2[[#This Row],[Miscellaneous]]+Table1__2[[#This Row],[Pan, tobacco and intoxicants]]</f>
        <v>354</v>
      </c>
      <c r="AJ315" s="1">
        <f>Table1__2[[#This Row],[Housing]]+Table1__2[[#This Row],[Household goods and services]]</f>
        <v>317.89999999999998</v>
      </c>
    </row>
    <row r="316" spans="1:36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2175.5</v>
      </c>
      <c r="AF316">
        <f>Table1__2[[#This Row],[Fuel and light]]</f>
        <v>164.2</v>
      </c>
      <c r="AG316">
        <f>Table1__2[[#This Row],[Transport and communication]]</f>
        <v>155.69999999999999</v>
      </c>
      <c r="AH31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1138.7</v>
      </c>
      <c r="AI316">
        <f>Table1__2[[#This Row],[Miscellaneous]]+Table1__2[[#This Row],[Pan, tobacco and intoxicants]]</f>
        <v>353.7</v>
      </c>
      <c r="AJ316" s="1">
        <f>Table1__2[[#This Row],[Housing]]+Table1__2[[#This Row],[Household goods and services]]</f>
        <v>322</v>
      </c>
    </row>
    <row r="317" spans="1:36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s="62">
        <v>139.26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2182</v>
      </c>
      <c r="AF317">
        <f>Table1__2[[#This Row],[Fuel and light]]</f>
        <v>165.3</v>
      </c>
      <c r="AG317">
        <f>Table1__2[[#This Row],[Transport and communication]]</f>
        <v>158.9</v>
      </c>
      <c r="AH31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1175.1000000000001</v>
      </c>
      <c r="AI317">
        <f>Table1__2[[#This Row],[Miscellaneous]]+Table1__2[[#This Row],[Pan, tobacco and intoxicants]]</f>
        <v>356.6</v>
      </c>
      <c r="AJ317" s="1">
        <f>Table1__2[[#This Row],[Housing]]+Table1__2[[#This Row],[Household goods and services]]</f>
        <v>302.15999999999997</v>
      </c>
    </row>
    <row r="318" spans="1:36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2217.8999999999996</v>
      </c>
      <c r="AF318">
        <f>Table1__2[[#This Row],[Fuel and light]]</f>
        <v>161.6</v>
      </c>
      <c r="AG318">
        <f>Table1__2[[#This Row],[Transport and communication]]</f>
        <v>151.19999999999999</v>
      </c>
      <c r="AH31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1110.8</v>
      </c>
      <c r="AI318">
        <f>Table1__2[[#This Row],[Miscellaneous]]+Table1__2[[#This Row],[Pan, tobacco and intoxicants]]</f>
        <v>354.3</v>
      </c>
      <c r="AJ318" s="1">
        <f>Table1__2[[#This Row],[Housing]]+Table1__2[[#This Row],[Household goods and services]]</f>
        <v>319.39999999999998</v>
      </c>
    </row>
    <row r="319" spans="1:36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2194.1</v>
      </c>
      <c r="AF319">
        <f>Table1__2[[#This Row],[Fuel and light]]</f>
        <v>163.9</v>
      </c>
      <c r="AG319">
        <f>Table1__2[[#This Row],[Transport and communication]]</f>
        <v>154.80000000000001</v>
      </c>
      <c r="AH31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1146.6000000000001</v>
      </c>
      <c r="AI319">
        <f>Table1__2[[#This Row],[Miscellaneous]]+Table1__2[[#This Row],[Pan, tobacco and intoxicants]]</f>
        <v>354.3</v>
      </c>
      <c r="AJ319" s="1">
        <f>Table1__2[[#This Row],[Housing]]+Table1__2[[#This Row],[Household goods and services]]</f>
        <v>323.5</v>
      </c>
    </row>
    <row r="320" spans="1:36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s="62">
        <v>139.26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2168.1999999999998</v>
      </c>
      <c r="AF320">
        <f>Table1__2[[#This Row],[Fuel and light]]</f>
        <v>165.6</v>
      </c>
      <c r="AG320">
        <f>Table1__2[[#This Row],[Transport and communication]]</f>
        <v>160.1</v>
      </c>
      <c r="AH32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1181.3</v>
      </c>
      <c r="AI320">
        <f>Table1__2[[#This Row],[Miscellaneous]]+Table1__2[[#This Row],[Pan, tobacco and intoxicants]]</f>
        <v>356.8</v>
      </c>
      <c r="AJ320" s="1">
        <f>Table1__2[[#This Row],[Housing]]+Table1__2[[#This Row],[Household goods and services]]</f>
        <v>303.15999999999997</v>
      </c>
    </row>
    <row r="321" spans="1:36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2206.3000000000002</v>
      </c>
      <c r="AF321">
        <f>Table1__2[[#This Row],[Fuel and light]]</f>
        <v>161.69999999999999</v>
      </c>
      <c r="AG321">
        <f>Table1__2[[#This Row],[Transport and communication]]</f>
        <v>151.80000000000001</v>
      </c>
      <c r="AH32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1116.3999999999999</v>
      </c>
      <c r="AI321">
        <f>Table1__2[[#This Row],[Miscellaneous]]+Table1__2[[#This Row],[Pan, tobacco and intoxicants]]</f>
        <v>354.6</v>
      </c>
      <c r="AJ321" s="1">
        <f>Table1__2[[#This Row],[Housing]]+Table1__2[[#This Row],[Household goods and services]]</f>
        <v>319.39999999999998</v>
      </c>
    </row>
    <row r="322" spans="1:36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2180.9</v>
      </c>
      <c r="AF322">
        <f>Table1__2[[#This Row],[Fuel and light]]</f>
        <v>164.1</v>
      </c>
      <c r="AG322">
        <f>Table1__2[[#This Row],[Transport and communication]]</f>
        <v>155.69999999999999</v>
      </c>
      <c r="AH32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1152.4000000000001</v>
      </c>
      <c r="AI322">
        <f>Table1__2[[#This Row],[Miscellaneous]]+Table1__2[[#This Row],[Pan, tobacco and intoxicants]]</f>
        <v>354.4</v>
      </c>
      <c r="AJ322" s="1">
        <f>Table1__2[[#This Row],[Housing]]+Table1__2[[#This Row],[Household goods and services]]</f>
        <v>323.60000000000002</v>
      </c>
    </row>
    <row r="323" spans="1:36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s="62">
        <v>139.26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2153</v>
      </c>
      <c r="AF323">
        <f>Table1__2[[#This Row],[Fuel and light]]</f>
        <v>165.8</v>
      </c>
      <c r="AG323">
        <f>Table1__2[[#This Row],[Transport and communication]]</f>
        <v>160.80000000000001</v>
      </c>
      <c r="AH32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1187.9000000000001</v>
      </c>
      <c r="AI323">
        <f>Table1__2[[#This Row],[Miscellaneous]]+Table1__2[[#This Row],[Pan, tobacco and intoxicants]]</f>
        <v>357.29999999999995</v>
      </c>
      <c r="AJ323" s="1">
        <f>Table1__2[[#This Row],[Housing]]+Table1__2[[#This Row],[Household goods and services]]</f>
        <v>304.15999999999997</v>
      </c>
    </row>
    <row r="324" spans="1:36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2186.6999999999998</v>
      </c>
      <c r="AF324">
        <f>Table1__2[[#This Row],[Fuel and light]]</f>
        <v>161.6</v>
      </c>
      <c r="AG324">
        <f>Table1__2[[#This Row],[Transport and communication]]</f>
        <v>152.69999999999999</v>
      </c>
      <c r="AH32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1123.7</v>
      </c>
      <c r="AI324">
        <f>Table1__2[[#This Row],[Miscellaneous]]+Table1__2[[#This Row],[Pan, tobacco and intoxicants]]</f>
        <v>355</v>
      </c>
      <c r="AJ324" s="1">
        <f>Table1__2[[#This Row],[Housing]]+Table1__2[[#This Row],[Household goods and services]]</f>
        <v>321.3</v>
      </c>
    </row>
    <row r="325" spans="1:36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2164.1999999999998</v>
      </c>
      <c r="AF325">
        <f>Table1__2[[#This Row],[Fuel and light]]</f>
        <v>164.2</v>
      </c>
      <c r="AG325">
        <f>Table1__2[[#This Row],[Transport and communication]]</f>
        <v>156.5</v>
      </c>
      <c r="AH32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1159.4000000000001</v>
      </c>
      <c r="AI325">
        <f>Table1__2[[#This Row],[Miscellaneous]]+Table1__2[[#This Row],[Pan, tobacco and intoxicants]]</f>
        <v>354.9</v>
      </c>
      <c r="AJ325" s="1">
        <f>Table1__2[[#This Row],[Housing]]+Table1__2[[#This Row],[Household goods and services]]</f>
        <v>325.60000000000002</v>
      </c>
    </row>
    <row r="326" spans="1:36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s="62">
        <v>139.26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2150.4</v>
      </c>
      <c r="AF326">
        <f>Table1__2[[#This Row],[Fuel and light]]</f>
        <v>167.4</v>
      </c>
      <c r="AG326">
        <f>Table1__2[[#This Row],[Transport and communication]]</f>
        <v>161.19999999999999</v>
      </c>
      <c r="AH32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1194.3999999999999</v>
      </c>
      <c r="AI326">
        <f>Table1__2[[#This Row],[Miscellaneous]]+Table1__2[[#This Row],[Pan, tobacco and intoxicants]]</f>
        <v>358.8</v>
      </c>
      <c r="AJ326" s="1">
        <f>Table1__2[[#This Row],[Housing]]+Table1__2[[#This Row],[Household goods and services]]</f>
        <v>304.95999999999998</v>
      </c>
    </row>
    <row r="327" spans="1:36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2183.5</v>
      </c>
      <c r="AF327">
        <f>Table1__2[[#This Row],[Fuel and light]]</f>
        <v>163</v>
      </c>
      <c r="AG327">
        <f>Table1__2[[#This Row],[Transport and communication]]</f>
        <v>153.1</v>
      </c>
      <c r="AH32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1132.4000000000001</v>
      </c>
      <c r="AI327">
        <f>Table1__2[[#This Row],[Miscellaneous]]+Table1__2[[#This Row],[Pan, tobacco and intoxicants]]</f>
        <v>355.9</v>
      </c>
      <c r="AJ327" s="1">
        <f>Table1__2[[#This Row],[Housing]]+Table1__2[[#This Row],[Household goods and services]]</f>
        <v>322.89999999999998</v>
      </c>
    </row>
    <row r="328" spans="1:36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2161.2000000000003</v>
      </c>
      <c r="AF328">
        <f>Table1__2[[#This Row],[Fuel and light]]</f>
        <v>165.7</v>
      </c>
      <c r="AG328">
        <f>Table1__2[[#This Row],[Transport and communication]]</f>
        <v>156.9</v>
      </c>
      <c r="AH32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1166.8999999999999</v>
      </c>
      <c r="AI328">
        <f>Table1__2[[#This Row],[Miscellaneous]]+Table1__2[[#This Row],[Pan, tobacco and intoxicants]]</f>
        <v>356.3</v>
      </c>
      <c r="AJ328" s="1">
        <f>Table1__2[[#This Row],[Housing]]+Table1__2[[#This Row],[Household goods and services]]</f>
        <v>327.3</v>
      </c>
    </row>
    <row r="329" spans="1:36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s="62">
        <v>139.26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2179.1000000000004</v>
      </c>
      <c r="AF329">
        <f>Table1__2[[#This Row],[Fuel and light]]</f>
        <v>168.9</v>
      </c>
      <c r="AG329">
        <f>Table1__2[[#This Row],[Transport and communication]]</f>
        <v>162</v>
      </c>
      <c r="AH32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1204.3</v>
      </c>
      <c r="AI329">
        <f>Table1__2[[#This Row],[Miscellaneous]]+Table1__2[[#This Row],[Pan, tobacco and intoxicants]]</f>
        <v>360.6</v>
      </c>
      <c r="AJ329" s="1">
        <f>Table1__2[[#This Row],[Housing]]+Table1__2[[#This Row],[Household goods and services]]</f>
        <v>305.76</v>
      </c>
    </row>
    <row r="330" spans="1:36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2196.3000000000002</v>
      </c>
      <c r="AF330">
        <f>Table1__2[[#This Row],[Fuel and light]]</f>
        <v>164.5</v>
      </c>
      <c r="AG330">
        <f>Table1__2[[#This Row],[Transport and communication]]</f>
        <v>154.19999999999999</v>
      </c>
      <c r="AH33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1143.1000000000001</v>
      </c>
      <c r="AI330">
        <f>Table1__2[[#This Row],[Miscellaneous]]+Table1__2[[#This Row],[Pan, tobacco and intoxicants]]</f>
        <v>358.1</v>
      </c>
      <c r="AJ330" s="1">
        <f>Table1__2[[#This Row],[Housing]]+Table1__2[[#This Row],[Household goods and services]]</f>
        <v>323.89999999999998</v>
      </c>
    </row>
    <row r="331" spans="1:36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2184.2000000000003</v>
      </c>
      <c r="AF331">
        <f>Table1__2[[#This Row],[Fuel and light]]</f>
        <v>167.2</v>
      </c>
      <c r="AG331">
        <f>Table1__2[[#This Row],[Transport and communication]]</f>
        <v>157.9</v>
      </c>
      <c r="AH33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1177.3000000000002</v>
      </c>
      <c r="AI331">
        <f>Table1__2[[#This Row],[Miscellaneous]]+Table1__2[[#This Row],[Pan, tobacco and intoxicants]]</f>
        <v>358.29999999999995</v>
      </c>
      <c r="AJ331" s="1">
        <f>Table1__2[[#This Row],[Housing]]+Table1__2[[#This Row],[Household goods and services]]</f>
        <v>328.1</v>
      </c>
    </row>
    <row r="332" spans="1:36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s="62">
        <v>139.26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2206.6</v>
      </c>
      <c r="AF332">
        <f>Table1__2[[#This Row],[Fuel and light]]</f>
        <v>173.3</v>
      </c>
      <c r="AG332">
        <f>Table1__2[[#This Row],[Transport and communication]]</f>
        <v>166.2</v>
      </c>
      <c r="AH33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1213.8</v>
      </c>
      <c r="AI332">
        <f>Table1__2[[#This Row],[Miscellaneous]]+Table1__2[[#This Row],[Pan, tobacco and intoxicants]]</f>
        <v>363</v>
      </c>
      <c r="AJ332" s="1">
        <f>Table1__2[[#This Row],[Housing]]+Table1__2[[#This Row],[Household goods and services]]</f>
        <v>306.95999999999998</v>
      </c>
    </row>
    <row r="333" spans="1:36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2230.4</v>
      </c>
      <c r="AF333">
        <f>Table1__2[[#This Row],[Fuel and light]]</f>
        <v>170.5</v>
      </c>
      <c r="AG333">
        <f>Table1__2[[#This Row],[Transport and communication]]</f>
        <v>159.30000000000001</v>
      </c>
      <c r="AH33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1152.8000000000002</v>
      </c>
      <c r="AI333">
        <f>Table1__2[[#This Row],[Miscellaneous]]+Table1__2[[#This Row],[Pan, tobacco and intoxicants]]</f>
        <v>360.2</v>
      </c>
      <c r="AJ333" s="1">
        <f>Table1__2[[#This Row],[Housing]]+Table1__2[[#This Row],[Household goods and services]]</f>
        <v>326.8</v>
      </c>
    </row>
    <row r="334" spans="1:36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2214.3000000000002</v>
      </c>
      <c r="AF334">
        <f>Table1__2[[#This Row],[Fuel and light]]</f>
        <v>172.2</v>
      </c>
      <c r="AG334">
        <f>Table1__2[[#This Row],[Transport and communication]]</f>
        <v>162.6</v>
      </c>
      <c r="AH33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1187.3</v>
      </c>
      <c r="AI334">
        <f>Table1__2[[#This Row],[Miscellaneous]]+Table1__2[[#This Row],[Pan, tobacco and intoxicants]]</f>
        <v>360.70000000000005</v>
      </c>
      <c r="AJ334" s="1">
        <f>Table1__2[[#This Row],[Housing]]+Table1__2[[#This Row],[Household goods and services]]</f>
        <v>331</v>
      </c>
    </row>
    <row r="335" spans="1:36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s="62">
        <v>139.26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2226.8000000000002</v>
      </c>
      <c r="AF335">
        <f>Table1__2[[#This Row],[Fuel and light]]</f>
        <v>175.3</v>
      </c>
      <c r="AG335">
        <f>Table1__2[[#This Row],[Transport and communication]]</f>
        <v>167.1</v>
      </c>
      <c r="AH33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1221.0999999999999</v>
      </c>
      <c r="AI335">
        <f>Table1__2[[#This Row],[Miscellaneous]]+Table1__2[[#This Row],[Pan, tobacco and intoxicants]]</f>
        <v>363.8</v>
      </c>
      <c r="AJ335" s="1">
        <f>Table1__2[[#This Row],[Housing]]+Table1__2[[#This Row],[Household goods and services]]</f>
        <v>308.15999999999997</v>
      </c>
    </row>
    <row r="336" spans="1:36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2262.2000000000003</v>
      </c>
      <c r="AF336">
        <f>Table1__2[[#This Row],[Fuel and light]]</f>
        <v>173.5</v>
      </c>
      <c r="AG336">
        <f>Table1__2[[#This Row],[Transport and communication]]</f>
        <v>159.4</v>
      </c>
      <c r="AH33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1160.3999999999999</v>
      </c>
      <c r="AI336">
        <f>Table1__2[[#This Row],[Miscellaneous]]+Table1__2[[#This Row],[Pan, tobacco and intoxicants]]</f>
        <v>361.3</v>
      </c>
      <c r="AJ336" s="1">
        <f>Table1__2[[#This Row],[Housing]]+Table1__2[[#This Row],[Household goods and services]]</f>
        <v>328.6</v>
      </c>
    </row>
    <row r="337" spans="1:36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2238.9000000000005</v>
      </c>
      <c r="AF337">
        <f>Table1__2[[#This Row],[Fuel and light]]</f>
        <v>174.6</v>
      </c>
      <c r="AG337">
        <f>Table1__2[[#This Row],[Transport and communication]]</f>
        <v>163</v>
      </c>
      <c r="AH33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1194.8000000000002</v>
      </c>
      <c r="AI337">
        <f>Table1__2[[#This Row],[Miscellaneous]]+Table1__2[[#This Row],[Pan, tobacco and intoxicants]]</f>
        <v>361.6</v>
      </c>
      <c r="AJ337" s="1">
        <f>Table1__2[[#This Row],[Housing]]+Table1__2[[#This Row],[Household goods and services]]</f>
        <v>332.7</v>
      </c>
    </row>
    <row r="338" spans="1:36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s="62">
        <v>139.26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2248.3000000000002</v>
      </c>
      <c r="AF338">
        <f>Table1__2[[#This Row],[Fuel and light]]</f>
        <v>176.7</v>
      </c>
      <c r="AG338">
        <f>Table1__2[[#This Row],[Transport and communication]]</f>
        <v>165.5</v>
      </c>
      <c r="AH33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1228.0999999999999</v>
      </c>
      <c r="AI338">
        <f>Table1__2[[#This Row],[Miscellaneous]]+Table1__2[[#This Row],[Pan, tobacco and intoxicants]]</f>
        <v>363.9</v>
      </c>
      <c r="AJ338" s="1">
        <f>Table1__2[[#This Row],[Housing]]+Table1__2[[#This Row],[Household goods and services]]</f>
        <v>309.56</v>
      </c>
    </row>
    <row r="339" spans="1:36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2287.5</v>
      </c>
      <c r="AF339">
        <f>Table1__2[[#This Row],[Fuel and light]]</f>
        <v>174.9</v>
      </c>
      <c r="AG339">
        <f>Table1__2[[#This Row],[Transport and communication]]</f>
        <v>157.19999999999999</v>
      </c>
      <c r="AH33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1169.0999999999999</v>
      </c>
      <c r="AI339">
        <f>Table1__2[[#This Row],[Miscellaneous]]+Table1__2[[#This Row],[Pan, tobacco and intoxicants]]</f>
        <v>362.1</v>
      </c>
      <c r="AJ339" s="1">
        <f>Table1__2[[#This Row],[Housing]]+Table1__2[[#This Row],[Household goods and services]]</f>
        <v>328.9</v>
      </c>
    </row>
    <row r="340" spans="1:36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2261.9</v>
      </c>
      <c r="AF340">
        <f>Table1__2[[#This Row],[Fuel and light]]</f>
        <v>176</v>
      </c>
      <c r="AG340">
        <f>Table1__2[[#This Row],[Transport and communication]]</f>
        <v>161.1</v>
      </c>
      <c r="AH34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1202.6000000000001</v>
      </c>
      <c r="AI340">
        <f>Table1__2[[#This Row],[Miscellaneous]]+Table1__2[[#This Row],[Pan, tobacco and intoxicants]]</f>
        <v>361.8</v>
      </c>
      <c r="AJ340" s="1">
        <f>Table1__2[[#This Row],[Housing]]+Table1__2[[#This Row],[Household goods and services]]</f>
        <v>333.20000000000005</v>
      </c>
    </row>
    <row r="341" spans="1:36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s="62">
        <v>139.26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2252.5</v>
      </c>
      <c r="AF341">
        <f>Table1__2[[#This Row],[Fuel and light]]</f>
        <v>179.6</v>
      </c>
      <c r="AG341">
        <f>Table1__2[[#This Row],[Transport and communication]]</f>
        <v>166.3</v>
      </c>
      <c r="AH34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1235.8</v>
      </c>
      <c r="AI341">
        <f>Table1__2[[#This Row],[Miscellaneous]]+Table1__2[[#This Row],[Pan, tobacco and intoxicants]]</f>
        <v>365</v>
      </c>
      <c r="AJ341" s="1">
        <f>Table1__2[[#This Row],[Housing]]+Table1__2[[#This Row],[Household goods and services]]</f>
        <v>310.56</v>
      </c>
    </row>
    <row r="342" spans="1:36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2291.6</v>
      </c>
      <c r="AF342">
        <f>Table1__2[[#This Row],[Fuel and light]]</f>
        <v>179.5</v>
      </c>
      <c r="AG342">
        <f>Table1__2[[#This Row],[Transport and communication]]</f>
        <v>157.4</v>
      </c>
      <c r="AH34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1177.2</v>
      </c>
      <c r="AI342">
        <f>Table1__2[[#This Row],[Miscellaneous]]+Table1__2[[#This Row],[Pan, tobacco and intoxicants]]</f>
        <v>363.29999999999995</v>
      </c>
      <c r="AJ342" s="1">
        <f>Table1__2[[#This Row],[Housing]]+Table1__2[[#This Row],[Household goods and services]]</f>
        <v>330.9</v>
      </c>
    </row>
    <row r="343" spans="1:36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2266.3000000000002</v>
      </c>
      <c r="AF343">
        <f>Table1__2[[#This Row],[Fuel and light]]</f>
        <v>179.6</v>
      </c>
      <c r="AG343">
        <f>Table1__2[[#This Row],[Transport and communication]]</f>
        <v>161.6</v>
      </c>
      <c r="AH34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1210.4000000000001</v>
      </c>
      <c r="AI343">
        <f>Table1__2[[#This Row],[Miscellaneous]]+Table1__2[[#This Row],[Pan, tobacco and intoxicants]]</f>
        <v>363</v>
      </c>
      <c r="AJ343" s="1">
        <f>Table1__2[[#This Row],[Housing]]+Table1__2[[#This Row],[Household goods and services]]</f>
        <v>335.20000000000005</v>
      </c>
    </row>
    <row r="344" spans="1:36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s="62">
        <v>139.26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2255.7999999999997</v>
      </c>
      <c r="AF344">
        <f>Table1__2[[#This Row],[Fuel and light]]</f>
        <v>179.1</v>
      </c>
      <c r="AG344">
        <f>Table1__2[[#This Row],[Transport and communication]]</f>
        <v>166.6</v>
      </c>
      <c r="AH34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1243.4000000000001</v>
      </c>
      <c r="AI344">
        <f>Table1__2[[#This Row],[Miscellaneous]]+Table1__2[[#This Row],[Pan, tobacco and intoxicants]]</f>
        <v>366.29999999999995</v>
      </c>
      <c r="AJ344" s="1">
        <f>Table1__2[[#This Row],[Housing]]+Table1__2[[#This Row],[Household goods and services]]</f>
        <v>311.56</v>
      </c>
    </row>
    <row r="345" spans="1:36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2293.6999999999998</v>
      </c>
      <c r="AF345">
        <f>Table1__2[[#This Row],[Fuel and light]]</f>
        <v>178.4</v>
      </c>
      <c r="AG345">
        <f>Table1__2[[#This Row],[Transport and communication]]</f>
        <v>157.69999999999999</v>
      </c>
      <c r="AH34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1184.3000000000002</v>
      </c>
      <c r="AI345">
        <f>Table1__2[[#This Row],[Miscellaneous]]+Table1__2[[#This Row],[Pan, tobacco and intoxicants]]</f>
        <v>364.1</v>
      </c>
      <c r="AJ345" s="1">
        <f>Table1__2[[#This Row],[Housing]]+Table1__2[[#This Row],[Household goods and services]]</f>
        <v>333.2</v>
      </c>
    </row>
    <row r="346" spans="1:36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2269.2000000000003</v>
      </c>
      <c r="AF346">
        <f>Table1__2[[#This Row],[Fuel and light]]</f>
        <v>178.8</v>
      </c>
      <c r="AG346">
        <f>Table1__2[[#This Row],[Transport and communication]]</f>
        <v>161.9</v>
      </c>
      <c r="AH34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1217.9000000000001</v>
      </c>
      <c r="AI346">
        <f>Table1__2[[#This Row],[Miscellaneous]]+Table1__2[[#This Row],[Pan, tobacco and intoxicants]]</f>
        <v>364.1</v>
      </c>
      <c r="AJ346" s="1">
        <f>Table1__2[[#This Row],[Housing]]+Table1__2[[#This Row],[Household goods and services]]</f>
        <v>337.5</v>
      </c>
    </row>
    <row r="347" spans="1:36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s="62">
        <v>139.26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2267.8000000000002</v>
      </c>
      <c r="AF347">
        <f>Table1__2[[#This Row],[Fuel and light]]</f>
        <v>179.7</v>
      </c>
      <c r="AG347">
        <f>Table1__2[[#This Row],[Transport and communication]]</f>
        <v>166.9</v>
      </c>
      <c r="AH34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1249.7</v>
      </c>
      <c r="AI347">
        <f>Table1__2[[#This Row],[Miscellaneous]]+Table1__2[[#This Row],[Pan, tobacco and intoxicants]]</f>
        <v>367.6</v>
      </c>
      <c r="AJ347" s="1">
        <f>Table1__2[[#This Row],[Housing]]+Table1__2[[#This Row],[Household goods and services]]</f>
        <v>312.86</v>
      </c>
    </row>
    <row r="348" spans="1:36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2306.4</v>
      </c>
      <c r="AF348">
        <f>Table1__2[[#This Row],[Fuel and light]]</f>
        <v>179.2</v>
      </c>
      <c r="AG348">
        <f>Table1__2[[#This Row],[Transport and communication]]</f>
        <v>158.19999999999999</v>
      </c>
      <c r="AH34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1191.3000000000002</v>
      </c>
      <c r="AI348">
        <f>Table1__2[[#This Row],[Miscellaneous]]+Table1__2[[#This Row],[Pan, tobacco and intoxicants]]</f>
        <v>365.79999999999995</v>
      </c>
      <c r="AJ348" s="1">
        <f>Table1__2[[#This Row],[Housing]]+Table1__2[[#This Row],[Household goods and services]]</f>
        <v>334.5</v>
      </c>
    </row>
    <row r="349" spans="1:36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2280.9</v>
      </c>
      <c r="AF349">
        <f>Table1__2[[#This Row],[Fuel and light]]</f>
        <v>179.5</v>
      </c>
      <c r="AG349">
        <f>Table1__2[[#This Row],[Transport and communication]]</f>
        <v>162.30000000000001</v>
      </c>
      <c r="AH34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1224.5</v>
      </c>
      <c r="AI349">
        <f>Table1__2[[#This Row],[Miscellaneous]]+Table1__2[[#This Row],[Pan, tobacco and intoxicants]]</f>
        <v>365.6</v>
      </c>
      <c r="AJ349" s="1">
        <f>Table1__2[[#This Row],[Housing]]+Table1__2[[#This Row],[Household goods and services]]</f>
        <v>339</v>
      </c>
    </row>
    <row r="350" spans="1:36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s="62">
        <v>139.26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2284.5</v>
      </c>
      <c r="AF350">
        <f>Table1__2[[#This Row],[Fuel and light]]</f>
        <v>180.8</v>
      </c>
      <c r="AG350">
        <f>Table1__2[[#This Row],[Transport and communication]]</f>
        <v>167.4</v>
      </c>
      <c r="AH35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1256.7</v>
      </c>
      <c r="AI350">
        <f>Table1__2[[#This Row],[Miscellaneous]]+Table1__2[[#This Row],[Pan, tobacco and intoxicants]]</f>
        <v>368.8</v>
      </c>
      <c r="AJ350" s="1">
        <f>Table1__2[[#This Row],[Housing]]+Table1__2[[#This Row],[Household goods and services]]</f>
        <v>313.65999999999997</v>
      </c>
    </row>
    <row r="351" spans="1:36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2322.3000000000002</v>
      </c>
      <c r="AF351">
        <f>Table1__2[[#This Row],[Fuel and light]]</f>
        <v>180</v>
      </c>
      <c r="AG351">
        <f>Table1__2[[#This Row],[Transport and communication]]</f>
        <v>158.80000000000001</v>
      </c>
      <c r="AH35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1196.2</v>
      </c>
      <c r="AI351">
        <f>Table1__2[[#This Row],[Miscellaneous]]+Table1__2[[#This Row],[Pan, tobacco and intoxicants]]</f>
        <v>366.9</v>
      </c>
      <c r="AJ351" s="1">
        <f>Table1__2[[#This Row],[Housing]]+Table1__2[[#This Row],[Household goods and services]]</f>
        <v>337.2</v>
      </c>
    </row>
    <row r="352" spans="1:36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2297.3000000000002</v>
      </c>
      <c r="AF352">
        <f>Table1__2[[#This Row],[Fuel and light]]</f>
        <v>180.5</v>
      </c>
      <c r="AG352">
        <f>Table1__2[[#This Row],[Transport and communication]]</f>
        <v>162.9</v>
      </c>
      <c r="AH35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1230.6000000000001</v>
      </c>
      <c r="AI352">
        <f>Table1__2[[#This Row],[Miscellaneous]]+Table1__2[[#This Row],[Pan, tobacco and intoxicants]]</f>
        <v>366.8</v>
      </c>
      <c r="AJ352" s="1">
        <f>Table1__2[[#This Row],[Housing]]+Table1__2[[#This Row],[Household goods and services]]</f>
        <v>341.6</v>
      </c>
    </row>
    <row r="353" spans="1:36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s="62">
        <v>139.26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2287.6999999999998</v>
      </c>
      <c r="AF353">
        <f>Table1__2[[#This Row],[Fuel and light]]</f>
        <v>181.9</v>
      </c>
      <c r="AG353">
        <f>Table1__2[[#This Row],[Transport and communication]]</f>
        <v>167.5</v>
      </c>
      <c r="AH35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1262.7000000000003</v>
      </c>
      <c r="AI353">
        <f>Table1__2[[#This Row],[Miscellaneous]]+Table1__2[[#This Row],[Pan, tobacco and intoxicants]]</f>
        <v>370.1</v>
      </c>
      <c r="AJ353" s="1">
        <f>Table1__2[[#This Row],[Housing]]+Table1__2[[#This Row],[Household goods and services]]</f>
        <v>314.76</v>
      </c>
    </row>
    <row r="354" spans="1:36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2314.4</v>
      </c>
      <c r="AF354">
        <f>Table1__2[[#This Row],[Fuel and light]]</f>
        <v>180.3</v>
      </c>
      <c r="AG354">
        <f>Table1__2[[#This Row],[Transport and communication]]</f>
        <v>158.9</v>
      </c>
      <c r="AH35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1202.7</v>
      </c>
      <c r="AI354">
        <f>Table1__2[[#This Row],[Miscellaneous]]+Table1__2[[#This Row],[Pan, tobacco and intoxicants]]</f>
        <v>368</v>
      </c>
      <c r="AJ354" s="1">
        <f>Table1__2[[#This Row],[Housing]]+Table1__2[[#This Row],[Household goods and services]]</f>
        <v>338.70000000000005</v>
      </c>
    </row>
    <row r="355" spans="1:36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2296.8000000000002</v>
      </c>
      <c r="AF355">
        <f>Table1__2[[#This Row],[Fuel and light]]</f>
        <v>181.3</v>
      </c>
      <c r="AG355">
        <f>Table1__2[[#This Row],[Transport and communication]]</f>
        <v>163</v>
      </c>
      <c r="AH35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1237</v>
      </c>
      <c r="AI355">
        <f>Table1__2[[#This Row],[Miscellaneous]]+Table1__2[[#This Row],[Pan, tobacco and intoxicants]]</f>
        <v>368</v>
      </c>
      <c r="AJ355" s="1">
        <f>Table1__2[[#This Row],[Housing]]+Table1__2[[#This Row],[Household goods and services]]</f>
        <v>343.20000000000005</v>
      </c>
    </row>
    <row r="356" spans="1:36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s="62">
        <v>139.26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2277.1</v>
      </c>
      <c r="AF356">
        <f>Table1__2[[#This Row],[Fuel and light]]</f>
        <v>182.8</v>
      </c>
      <c r="AG356">
        <f>Table1__2[[#This Row],[Transport and communication]]</f>
        <v>167.8</v>
      </c>
      <c r="AH35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1269.5</v>
      </c>
      <c r="AI356">
        <f>Table1__2[[#This Row],[Miscellaneous]]+Table1__2[[#This Row],[Pan, tobacco and intoxicants]]</f>
        <v>371.4</v>
      </c>
      <c r="AJ356" s="1">
        <f>Table1__2[[#This Row],[Housing]]+Table1__2[[#This Row],[Household goods and services]]</f>
        <v>315.65999999999997</v>
      </c>
    </row>
    <row r="357" spans="1:36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2295.7999999999997</v>
      </c>
      <c r="AF357">
        <f>Table1__2[[#This Row],[Fuel and light]]</f>
        <v>180.6</v>
      </c>
      <c r="AG357">
        <f>Table1__2[[#This Row],[Transport and communication]]</f>
        <v>159.4</v>
      </c>
      <c r="AH35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1210</v>
      </c>
      <c r="AI357">
        <f>Table1__2[[#This Row],[Miscellaneous]]+Table1__2[[#This Row],[Pan, tobacco and intoxicants]]</f>
        <v>369.29999999999995</v>
      </c>
      <c r="AJ357" s="1">
        <f>Table1__2[[#This Row],[Housing]]+Table1__2[[#This Row],[Household goods and services]]</f>
        <v>338</v>
      </c>
    </row>
    <row r="358" spans="1:36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2283.4</v>
      </c>
      <c r="AF358">
        <f>Table1__2[[#This Row],[Fuel and light]]</f>
        <v>182</v>
      </c>
      <c r="AG358">
        <f>Table1__2[[#This Row],[Transport and communication]]</f>
        <v>163.4</v>
      </c>
      <c r="AH35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1243.9000000000001</v>
      </c>
      <c r="AI358">
        <f>Table1__2[[#This Row],[Miscellaneous]]+Table1__2[[#This Row],[Pan, tobacco and intoxicants]]</f>
        <v>369.3</v>
      </c>
      <c r="AJ358" s="1">
        <f>Table1__2[[#This Row],[Housing]]+Table1__2[[#This Row],[Household goods and services]]</f>
        <v>342.79999999999995</v>
      </c>
    </row>
    <row r="359" spans="1:36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s="62">
        <v>139.26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2283.2000000000003</v>
      </c>
      <c r="AF359">
        <f>Table1__2[[#This Row],[Fuel and light]]</f>
        <v>183.2</v>
      </c>
      <c r="AG359">
        <f>Table1__2[[#This Row],[Transport and communication]]</f>
        <v>168.2</v>
      </c>
      <c r="AH35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1276.5999999999999</v>
      </c>
      <c r="AI359">
        <f>Table1__2[[#This Row],[Miscellaneous]]+Table1__2[[#This Row],[Pan, tobacco and intoxicants]]</f>
        <v>373.4</v>
      </c>
      <c r="AJ359" s="1">
        <f>Table1__2[[#This Row],[Housing]]+Table1__2[[#This Row],[Household goods and services]]</f>
        <v>316.45999999999998</v>
      </c>
    </row>
    <row r="360" spans="1:36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2310.2000000000003</v>
      </c>
      <c r="AF360">
        <f>Table1__2[[#This Row],[Fuel and light]]</f>
        <v>180.1</v>
      </c>
      <c r="AG360">
        <f>Table1__2[[#This Row],[Transport and communication]]</f>
        <v>159.5</v>
      </c>
      <c r="AH36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1217.5</v>
      </c>
      <c r="AI360">
        <f>Table1__2[[#This Row],[Miscellaneous]]+Table1__2[[#This Row],[Pan, tobacco and intoxicants]]</f>
        <v>370.5</v>
      </c>
      <c r="AJ360" s="1">
        <f>Table1__2[[#This Row],[Housing]]+Table1__2[[#This Row],[Household goods and services]]</f>
        <v>340.1</v>
      </c>
    </row>
    <row r="361" spans="1:36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2292.6999999999998</v>
      </c>
      <c r="AF361">
        <f>Table1__2[[#This Row],[Fuel and light]]</f>
        <v>182</v>
      </c>
      <c r="AG361">
        <f>Table1__2[[#This Row],[Transport and communication]]</f>
        <v>163.6</v>
      </c>
      <c r="AH36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1251</v>
      </c>
      <c r="AI361">
        <f>Table1__2[[#This Row],[Miscellaneous]]+Table1__2[[#This Row],[Pan, tobacco and intoxicants]]</f>
        <v>371</v>
      </c>
      <c r="AJ361" s="1">
        <f>Table1__2[[#This Row],[Housing]]+Table1__2[[#This Row],[Household goods and services]]</f>
        <v>345</v>
      </c>
    </row>
    <row r="362" spans="1:36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s="62">
        <v>139.26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2265.6999999999998</v>
      </c>
      <c r="AF362">
        <f>Table1__2[[#This Row],[Fuel and light]]</f>
        <v>181.6</v>
      </c>
      <c r="AG362">
        <f>Table1__2[[#This Row],[Transport and communication]]</f>
        <v>169</v>
      </c>
      <c r="AH36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1285.2</v>
      </c>
      <c r="AI362">
        <f>Table1__2[[#This Row],[Miscellaneous]]+Table1__2[[#This Row],[Pan, tobacco and intoxicants]]</f>
        <v>376.20000000000005</v>
      </c>
      <c r="AJ362" s="1">
        <f>Table1__2[[#This Row],[Housing]]+Table1__2[[#This Row],[Household goods and services]]</f>
        <v>317.86</v>
      </c>
    </row>
    <row r="363" spans="1:36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2303.1999999999998</v>
      </c>
      <c r="AF363">
        <f>Table1__2[[#This Row],[Fuel and light]]</f>
        <v>182.8</v>
      </c>
      <c r="AG363">
        <f>Table1__2[[#This Row],[Transport and communication]]</f>
        <v>159.80000000000001</v>
      </c>
      <c r="AH36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1228.5999999999999</v>
      </c>
      <c r="AI363">
        <f>Table1__2[[#This Row],[Miscellaneous]]+Table1__2[[#This Row],[Pan, tobacco and intoxicants]]</f>
        <v>372.7</v>
      </c>
      <c r="AJ363" s="1">
        <f>Table1__2[[#This Row],[Housing]]+Table1__2[[#This Row],[Household goods and services]]</f>
        <v>342.7</v>
      </c>
    </row>
    <row r="364" spans="1:36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2279.1</v>
      </c>
      <c r="AF364">
        <f>Table1__2[[#This Row],[Fuel and light]]</f>
        <v>182.1</v>
      </c>
      <c r="AG364">
        <f>Table1__2[[#This Row],[Transport and communication]]</f>
        <v>164.2</v>
      </c>
      <c r="AH364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1260.7</v>
      </c>
      <c r="AI364">
        <f>Table1__2[[#This Row],[Miscellaneous]]+Table1__2[[#This Row],[Pan, tobacco and intoxicants]]</f>
        <v>373.6</v>
      </c>
      <c r="AJ364" s="1">
        <f>Table1__2[[#This Row],[Housing]]+Table1__2[[#This Row],[Household goods and services]]</f>
        <v>347.7</v>
      </c>
    </row>
    <row r="365" spans="1:36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s="62">
        <v>139.26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2265.8000000000002</v>
      </c>
      <c r="AF365">
        <f>Table1__2[[#This Row],[Fuel and light]]</f>
        <v>181.4</v>
      </c>
      <c r="AG365">
        <f>Table1__2[[#This Row],[Transport and communication]]</f>
        <v>169</v>
      </c>
      <c r="AH365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1285.2</v>
      </c>
      <c r="AI365">
        <f>Table1__2[[#This Row],[Miscellaneous]]+Table1__2[[#This Row],[Pan, tobacco and intoxicants]]</f>
        <v>376.3</v>
      </c>
      <c r="AJ365" s="1">
        <f>Table1__2[[#This Row],[Housing]]+Table1__2[[#This Row],[Household goods and services]]</f>
        <v>317.86</v>
      </c>
    </row>
    <row r="366" spans="1:36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2303.4</v>
      </c>
      <c r="AF366">
        <f>Table1__2[[#This Row],[Fuel and light]]</f>
        <v>182.6</v>
      </c>
      <c r="AG366">
        <f>Table1__2[[#This Row],[Transport and communication]]</f>
        <v>159.80000000000001</v>
      </c>
      <c r="AH366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1228.5999999999999</v>
      </c>
      <c r="AI366">
        <f>Table1__2[[#This Row],[Miscellaneous]]+Table1__2[[#This Row],[Pan, tobacco and intoxicants]]</f>
        <v>372.7</v>
      </c>
      <c r="AJ366" s="1">
        <f>Table1__2[[#This Row],[Housing]]+Table1__2[[#This Row],[Household goods and services]]</f>
        <v>342.7</v>
      </c>
    </row>
    <row r="367" spans="1:36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2279.1999999999998</v>
      </c>
      <c r="AF367">
        <f>Table1__2[[#This Row],[Fuel and light]]</f>
        <v>181.9</v>
      </c>
      <c r="AG367">
        <f>Table1__2[[#This Row],[Transport and communication]]</f>
        <v>164.2</v>
      </c>
      <c r="AH367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1260.5999999999999</v>
      </c>
      <c r="AI367">
        <f>Table1__2[[#This Row],[Miscellaneous]]+Table1__2[[#This Row],[Pan, tobacco and intoxicants]]</f>
        <v>373.6</v>
      </c>
      <c r="AJ367" s="1">
        <f>Table1__2[[#This Row],[Housing]]+Table1__2[[#This Row],[Household goods and services]]</f>
        <v>347.7</v>
      </c>
    </row>
    <row r="368" spans="1:36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s="62">
        <v>139.26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2274.1999999999998</v>
      </c>
      <c r="AF368">
        <f>Table1__2[[#This Row],[Fuel and light]]</f>
        <v>181.5</v>
      </c>
      <c r="AG368">
        <f>Table1__2[[#This Row],[Transport and communication]]</f>
        <v>169.4</v>
      </c>
      <c r="AH368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1291.8000000000002</v>
      </c>
      <c r="AI368">
        <f>Table1__2[[#This Row],[Miscellaneous]]+Table1__2[[#This Row],[Pan, tobacco and intoxicants]]</f>
        <v>378.4</v>
      </c>
      <c r="AJ368" s="1">
        <f>Table1__2[[#This Row],[Housing]]+Table1__2[[#This Row],[Household goods and services]]</f>
        <v>318.36</v>
      </c>
    </row>
    <row r="369" spans="1:36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2317.7000000000003</v>
      </c>
      <c r="AF369">
        <f>Table1__2[[#This Row],[Fuel and light]]</f>
        <v>182.1</v>
      </c>
      <c r="AG369">
        <f>Table1__2[[#This Row],[Transport and communication]]</f>
        <v>160.1</v>
      </c>
      <c r="AH369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1236.5</v>
      </c>
      <c r="AI369">
        <f>Table1__2[[#This Row],[Miscellaneous]]+Table1__2[[#This Row],[Pan, tobacco and intoxicants]]</f>
        <v>374.4</v>
      </c>
      <c r="AJ369" s="1">
        <f>Table1__2[[#This Row],[Housing]]+Table1__2[[#This Row],[Household goods and services]]</f>
        <v>344.79999999999995</v>
      </c>
    </row>
    <row r="370" spans="1:36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  <c r="AE370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2289.6000000000004</v>
      </c>
      <c r="AF370">
        <f>Table1__2[[#This Row],[Fuel and light]]</f>
        <v>181.7</v>
      </c>
      <c r="AG370">
        <f>Table1__2[[#This Row],[Transport and communication]]</f>
        <v>164.5</v>
      </c>
      <c r="AH370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1267.9000000000001</v>
      </c>
      <c r="AI370">
        <f>Table1__2[[#This Row],[Miscellaneous]]+Table1__2[[#This Row],[Pan, tobacco and intoxicants]]</f>
        <v>375.6</v>
      </c>
      <c r="AJ370" s="1">
        <f>Table1__2[[#This Row],[Housing]]+Table1__2[[#This Row],[Household goods and services]]</f>
        <v>349.79999999999995</v>
      </c>
    </row>
    <row r="371" spans="1:36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s="62">
        <v>139.26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2290.7000000000007</v>
      </c>
      <c r="AF371">
        <f>Table1__2[[#This Row],[Fuel and light]]</f>
        <v>182.5</v>
      </c>
      <c r="AG371">
        <f>Table1__2[[#This Row],[Transport and communication]]</f>
        <v>169.7</v>
      </c>
      <c r="AH371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1296.7</v>
      </c>
      <c r="AI371">
        <f>Table1__2[[#This Row],[Miscellaneous]]+Table1__2[[#This Row],[Pan, tobacco and intoxicants]]</f>
        <v>379.4</v>
      </c>
      <c r="AJ371" s="1">
        <f>Table1__2[[#This Row],[Housing]]+Table1__2[[#This Row],[Household goods and services]]</f>
        <v>319.06</v>
      </c>
    </row>
    <row r="372" spans="1:36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2335.1</v>
      </c>
      <c r="AF372">
        <f>Table1__2[[#This Row],[Fuel and light]]</f>
        <v>183.4</v>
      </c>
      <c r="AG372">
        <f>Table1__2[[#This Row],[Transport and communication]]</f>
        <v>160.4</v>
      </c>
      <c r="AH372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1240.4999999999998</v>
      </c>
      <c r="AI372">
        <f>Table1__2[[#This Row],[Miscellaneous]]+Table1__2[[#This Row],[Pan, tobacco and intoxicants]]</f>
        <v>375.79999999999995</v>
      </c>
      <c r="AJ372" s="1">
        <f>Table1__2[[#This Row],[Housing]]+Table1__2[[#This Row],[Household goods and services]]</f>
        <v>345.7</v>
      </c>
    </row>
    <row r="373" spans="1:36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  <c r="AE373">
        <f>Table1__2[[#This Row],[Cereals and products]]+Table1__2[[#This Row],[Meat and fish]]+Table1__2[[#This Row],[Egg]]+Table1__2[[#This Row],[Milk and products]]+Table1__2[[#This Row],[Oils and fats]]+Table1__2[[#This Row],[Fruits]]+Table1__2[[#This Row],[Vegetables]]+Table1__2[[#This Row],[Pulses and products]]+Table1__2[[#This Row],[Sugar and Confectionery]]+Table1__2[[#This Row],[Spices]]+Table1__2[[#This Row],[Non-alcoholic beverages]]+Table1__2[[#This Row],[Prepared meals, snacks, sweets etc.]]+Table1__2[[#This Row],[Food and beverages]]</f>
        <v>2306.9</v>
      </c>
      <c r="AF373">
        <f>Table1__2[[#This Row],[Fuel and light]]</f>
        <v>182.8</v>
      </c>
      <c r="AG373">
        <f>Table1__2[[#This Row],[Transport and communication]]</f>
        <v>164.8</v>
      </c>
      <c r="AH373">
        <f>Table1__2[[#This Row],[Personal care and effects]]+Table1__2[[#This Row],[Recreation and amusement]]+Table1__2[[#This Row],[Clothing and footwear]]+Table1__2[[#This Row],[Health]]+Table1__2[[#This Row],[Clothing]]+Table1__2[[#This Row],[Footwear]]+Table1__2[[#This Row],[Education]]</f>
        <v>1272.3999999999999</v>
      </c>
      <c r="AI373">
        <f>Table1__2[[#This Row],[Miscellaneous]]+Table1__2[[#This Row],[Pan, tobacco and intoxicants]]</f>
        <v>376.7</v>
      </c>
      <c r="AJ373" s="1">
        <f>Table1__2[[#This Row],[Housing]]+Table1__2[[#This Row],[Household goods and services]]</f>
        <v>350.79999999999995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21EF-87D0-4DA4-A16D-452B03BC91C8}">
  <dimension ref="A1:AG367"/>
  <sheetViews>
    <sheetView topLeftCell="N1" zoomScale="85" zoomScaleNormal="85" workbookViewId="0">
      <selection activeCell="P12" sqref="P12"/>
    </sheetView>
  </sheetViews>
  <sheetFormatPr defaultRowHeight="14.4"/>
  <cols>
    <col min="1" max="1" width="11.109375" bestFit="1" customWidth="1"/>
    <col min="2" max="2" width="6.88671875" bestFit="1" customWidth="1"/>
    <col min="3" max="3" width="9.77734375" bestFit="1" customWidth="1"/>
    <col min="4" max="4" width="10.33203125" customWidth="1"/>
    <col min="5" max="5" width="10.6640625" customWidth="1"/>
    <col min="6" max="6" width="14.5546875" customWidth="1"/>
    <col min="7" max="7" width="14.21875" customWidth="1"/>
    <col min="8" max="8" width="15.44140625" customWidth="1"/>
    <col min="9" max="9" width="16.5546875" customWidth="1"/>
    <col min="10" max="10" width="13.88671875" customWidth="1"/>
    <col min="17" max="17" width="8.33203125" customWidth="1"/>
    <col min="18" max="18" width="13.21875" bestFit="1" customWidth="1"/>
    <col min="19" max="19" width="12.44140625" bestFit="1" customWidth="1"/>
    <col min="20" max="20" width="14" bestFit="1" customWidth="1"/>
    <col min="21" max="23" width="15.109375" bestFit="1" customWidth="1"/>
    <col min="24" max="24" width="15.109375" customWidth="1"/>
    <col min="25" max="25" width="11.6640625" customWidth="1"/>
    <col min="26" max="26" width="9.109375" bestFit="1" customWidth="1"/>
    <col min="27" max="27" width="13.33203125" bestFit="1" customWidth="1"/>
    <col min="28" max="28" width="12.5546875" bestFit="1" customWidth="1"/>
    <col min="29" max="29" width="14.109375" bestFit="1" customWidth="1"/>
    <col min="30" max="30" width="15.21875" bestFit="1" customWidth="1"/>
    <col min="33" max="33" width="12.6640625" bestFit="1" customWidth="1"/>
  </cols>
  <sheetData>
    <row r="1" spans="1:33">
      <c r="A1" s="3" t="s">
        <v>0</v>
      </c>
      <c r="B1" s="3" t="s">
        <v>1</v>
      </c>
      <c r="C1" s="3" t="s">
        <v>2</v>
      </c>
      <c r="D1" s="3" t="s">
        <v>49</v>
      </c>
      <c r="E1" s="3" t="s">
        <v>51</v>
      </c>
      <c r="F1" s="3" t="s">
        <v>50</v>
      </c>
      <c r="G1" s="3" t="s">
        <v>52</v>
      </c>
      <c r="H1" s="3" t="s">
        <v>53</v>
      </c>
      <c r="I1" s="3" t="s">
        <v>55</v>
      </c>
      <c r="J1" s="3" t="s">
        <v>29</v>
      </c>
    </row>
    <row r="2" spans="1:33" ht="15.6">
      <c r="A2" t="s">
        <v>30</v>
      </c>
      <c r="B2">
        <v>2013</v>
      </c>
      <c r="C2" t="s">
        <v>31</v>
      </c>
      <c r="D2">
        <v>1371.6999999999998</v>
      </c>
      <c r="E2">
        <v>105.5</v>
      </c>
      <c r="F2">
        <v>103.3</v>
      </c>
      <c r="G2">
        <v>734.59999999999991</v>
      </c>
      <c r="H2">
        <v>209.1</v>
      </c>
      <c r="I2" s="1">
        <f>Table1__2[[#This Row],[Housing]]+Table1__2[[#This Row],[Household goods and services]]</f>
        <v>244.06</v>
      </c>
      <c r="J2">
        <v>105.1</v>
      </c>
      <c r="P2" s="63" t="s">
        <v>56</v>
      </c>
      <c r="Q2" s="64"/>
      <c r="R2" s="64"/>
      <c r="S2" s="64"/>
      <c r="T2" s="64"/>
      <c r="U2" s="64"/>
      <c r="V2" s="64"/>
      <c r="W2" s="64"/>
      <c r="X2" s="17"/>
      <c r="Y2" s="25" t="s">
        <v>30</v>
      </c>
    </row>
    <row r="3" spans="1:33">
      <c r="A3" t="s">
        <v>33</v>
      </c>
      <c r="B3">
        <v>2013</v>
      </c>
      <c r="C3" t="s">
        <v>31</v>
      </c>
      <c r="D3">
        <v>1376.4</v>
      </c>
      <c r="E3">
        <v>105.4</v>
      </c>
      <c r="F3">
        <v>103.2</v>
      </c>
      <c r="G3">
        <v>731.5</v>
      </c>
      <c r="H3">
        <v>208.9</v>
      </c>
      <c r="I3" s="1">
        <f>Table1__2[[#This Row],[Housing]]+Table1__2[[#This Row],[Household goods and services]]</f>
        <v>205.1</v>
      </c>
      <c r="J3">
        <v>104</v>
      </c>
      <c r="P3" s="4" t="s">
        <v>1</v>
      </c>
      <c r="Q3" s="4" t="s">
        <v>2</v>
      </c>
      <c r="R3" s="4" t="s">
        <v>49</v>
      </c>
      <c r="S3" s="4" t="s">
        <v>51</v>
      </c>
      <c r="T3" s="4" t="s">
        <v>50</v>
      </c>
      <c r="U3" s="4" t="s">
        <v>52</v>
      </c>
      <c r="V3" s="4" t="s">
        <v>53</v>
      </c>
      <c r="W3" s="4" t="s">
        <v>55</v>
      </c>
      <c r="X3" s="18" t="s">
        <v>2</v>
      </c>
      <c r="Y3" s="4" t="s">
        <v>49</v>
      </c>
      <c r="Z3" s="4" t="s">
        <v>51</v>
      </c>
      <c r="AA3" s="4" t="s">
        <v>50</v>
      </c>
      <c r="AB3" s="4" t="s">
        <v>52</v>
      </c>
      <c r="AC3" s="4" t="s">
        <v>53</v>
      </c>
      <c r="AD3" s="4" t="s">
        <v>55</v>
      </c>
    </row>
    <row r="4" spans="1:33">
      <c r="A4" t="s">
        <v>34</v>
      </c>
      <c r="B4">
        <v>2013</v>
      </c>
      <c r="C4" t="s">
        <v>31</v>
      </c>
      <c r="D4">
        <v>1373.3000000000002</v>
      </c>
      <c r="E4">
        <v>105.5</v>
      </c>
      <c r="F4">
        <v>103.2</v>
      </c>
      <c r="G4">
        <v>733.2</v>
      </c>
      <c r="H4">
        <v>209</v>
      </c>
      <c r="I4" s="1">
        <f>Table1__2[[#This Row],[Housing]]+Table1__2[[#This Row],[Household goods and services]]</f>
        <v>205.1</v>
      </c>
      <c r="J4">
        <v>104.6</v>
      </c>
      <c r="P4" s="5">
        <v>2023</v>
      </c>
      <c r="Q4" s="5" t="s">
        <v>31</v>
      </c>
      <c r="R4" s="5">
        <f>SUMIFS(D$2:D$367,$B$2:$B$367, $P$4, $C$2:C$367, $Q4, A$2:A$367, $Y$2)</f>
        <v>2283.2000000000003</v>
      </c>
      <c r="S4" s="5">
        <f>SUMIFS(E$2:E$367, $B$2:$B$367, $P$4, $C$2:$C$367, $Q4, A$2:A$367, $Y$2)</f>
        <v>183.2</v>
      </c>
      <c r="T4" s="5">
        <f>SUMIFS($F$2:$F$367, $B$2:$B$367, $P$4, $C$2:$C$367, $Q4, $A$2:$A$367, $Y$2)</f>
        <v>168.2</v>
      </c>
      <c r="U4" s="5">
        <f>SUMIFS($G$2:$G$367, $B$2:$B$367, $P$4, $C$2:$C$367, $Q4, $A$2:$A$367, $Y$2)</f>
        <v>1276.5999999999999</v>
      </c>
      <c r="V4" s="5">
        <f>SUMIFS($H$2:$H$367, $B$2:$B$367, $P$4, $C$2:$C$367, $Q4, $A$2:$A$367, $Y$2)</f>
        <v>373.4</v>
      </c>
      <c r="W4" s="5">
        <f>SUMIFS($I$2:$I$367, $B$2:$B$367, $P$4, $C$2:$C$367, $Q4, $A$2:$A$367, $Y$2)</f>
        <v>314.76</v>
      </c>
      <c r="X4" s="19" t="s">
        <v>31</v>
      </c>
      <c r="Y4" s="11">
        <f t="shared" ref="Y4:AD4" si="0">R4/R$9</f>
        <v>0.2006397412914338</v>
      </c>
      <c r="Z4" s="11">
        <f t="shared" si="0"/>
        <v>0.2012744451768842</v>
      </c>
      <c r="AA4" s="11">
        <f t="shared" si="0"/>
        <v>0.19898260972435822</v>
      </c>
      <c r="AB4" s="11">
        <f t="shared" si="0"/>
        <v>0.19836842514179162</v>
      </c>
      <c r="AC4" s="11">
        <f t="shared" si="0"/>
        <v>0.19822689387906775</v>
      </c>
      <c r="AD4" s="11">
        <f t="shared" si="0"/>
        <v>0.19888790597750539</v>
      </c>
    </row>
    <row r="5" spans="1:33">
      <c r="A5" t="s">
        <v>30</v>
      </c>
      <c r="B5">
        <v>2013</v>
      </c>
      <c r="C5" t="s">
        <v>35</v>
      </c>
      <c r="D5">
        <v>1380.3999999999999</v>
      </c>
      <c r="E5">
        <v>106.2</v>
      </c>
      <c r="F5">
        <v>103.9</v>
      </c>
      <c r="G5">
        <v>737.5</v>
      </c>
      <c r="H5">
        <v>210</v>
      </c>
      <c r="I5" s="1">
        <f>Table1__2[[#This Row],[Housing]]+Table1__2[[#This Row],[Household goods and services]]</f>
        <v>244.45999999999998</v>
      </c>
      <c r="J5">
        <v>105.8</v>
      </c>
      <c r="Q5" s="5" t="s">
        <v>35</v>
      </c>
      <c r="R5" s="5">
        <f>SUMIFS(D$2:D$367, $B$2:$B$367, $P$4, $C$2:C$367, $Q5, A$2:A$367, $Y$2)</f>
        <v>2265.6999999999998</v>
      </c>
      <c r="S5" s="5">
        <f t="shared" ref="S5:S8" si="1">SUMIFS(E$2:E$367, $B$2:$B$367, $P$4, $C$2:$C$367, $Q5, A$2:A$367, $Y$2)</f>
        <v>181.6</v>
      </c>
      <c r="T5" s="5">
        <f t="shared" ref="T5:T8" si="2">SUMIFS($F$2:$F$367, $B$2:$B$367, $P$4, $C$2:$C$367, $Q5, A$2:A$367, $Y$2)</f>
        <v>169</v>
      </c>
      <c r="U5" s="5">
        <f t="shared" ref="U5:U8" si="3">SUMIFS($G$2:$G$367, $B$2:$B$367, $P$4, $C$2:$C$367, $Q5, $A$2:$A$367, $Y$2)</f>
        <v>1285.2</v>
      </c>
      <c r="V5" s="5">
        <f t="shared" ref="V5:V8" si="4">SUMIFS($H$2:$H$367, $B$2:$B$367, $P$4, $C$2:$C$367, $Q5, $A$2:$A$367, $Y$2)</f>
        <v>376.20000000000005</v>
      </c>
      <c r="W5" s="5">
        <f t="shared" ref="W5:W8" si="5">SUMIFS($I$2:$I$367, $B$2:$B$367, $P$4, $C$2:$C$367, $Q5, $A$2:$A$367, $Y$2)</f>
        <v>315.65999999999997</v>
      </c>
      <c r="X5" s="19" t="s">
        <v>35</v>
      </c>
      <c r="Y5" s="11">
        <f t="shared" ref="Y5:Y8" si="6">R5/R$9</f>
        <v>0.19910190164856406</v>
      </c>
      <c r="Z5" s="11">
        <f t="shared" ref="Z5:Z8" si="7">S5/S$9</f>
        <v>0.19951658976049222</v>
      </c>
      <c r="AA5" s="11">
        <f t="shared" ref="AA5:AA8" si="8">T5/T$9</f>
        <v>0.19992901928309478</v>
      </c>
      <c r="AB5" s="11">
        <f t="shared" ref="AB5:AB8" si="9">U5/U$9</f>
        <v>0.19970476264470516</v>
      </c>
      <c r="AC5" s="11">
        <f t="shared" ref="AC5:AC8" si="10">V5/V$9</f>
        <v>0.19971333014811274</v>
      </c>
      <c r="AD5" s="11">
        <f t="shared" ref="AD5:AD8" si="11">W5/W$9</f>
        <v>0.19945659042082647</v>
      </c>
      <c r="AF5" s="26">
        <f>MAX(Y4:AD8)</f>
        <v>0.20149172558464767</v>
      </c>
      <c r="AG5" s="4" t="s">
        <v>52</v>
      </c>
    </row>
    <row r="6" spans="1:33">
      <c r="A6" t="s">
        <v>33</v>
      </c>
      <c r="B6">
        <v>2013</v>
      </c>
      <c r="C6" t="s">
        <v>35</v>
      </c>
      <c r="D6">
        <v>1390.6000000000001</v>
      </c>
      <c r="E6">
        <v>105.7</v>
      </c>
      <c r="F6">
        <v>104.4</v>
      </c>
      <c r="G6">
        <v>734.5</v>
      </c>
      <c r="H6">
        <v>210.3</v>
      </c>
      <c r="I6" s="1">
        <f>Table1__2[[#This Row],[Housing]]+Table1__2[[#This Row],[Household goods and services]]</f>
        <v>205.60000000000002</v>
      </c>
      <c r="J6">
        <v>104.7</v>
      </c>
      <c r="Q6" s="5" t="s">
        <v>36</v>
      </c>
      <c r="R6" s="5">
        <f>SUMIFS(D$2:D$367, $B$2:$B$367, $P$4, $C$2:C$367, $Q6, A$2:A$367, $Y$2)</f>
        <v>2265.8000000000002</v>
      </c>
      <c r="S6" s="5">
        <f t="shared" si="1"/>
        <v>181.4</v>
      </c>
      <c r="T6" s="5">
        <f t="shared" si="2"/>
        <v>169</v>
      </c>
      <c r="U6" s="5">
        <f t="shared" si="3"/>
        <v>1285.2</v>
      </c>
      <c r="V6" s="5">
        <f t="shared" si="4"/>
        <v>376.3</v>
      </c>
      <c r="W6" s="5">
        <f t="shared" si="5"/>
        <v>316.45999999999998</v>
      </c>
      <c r="X6" s="19" t="s">
        <v>36</v>
      </c>
      <c r="Y6" s="11">
        <f t="shared" si="6"/>
        <v>0.19911068930366621</v>
      </c>
      <c r="Z6" s="11">
        <f t="shared" si="7"/>
        <v>0.19929685783344323</v>
      </c>
      <c r="AA6" s="11">
        <f t="shared" si="8"/>
        <v>0.19992901928309478</v>
      </c>
      <c r="AB6" s="11">
        <f t="shared" si="9"/>
        <v>0.19970476264470516</v>
      </c>
      <c r="AC6" s="11">
        <f t="shared" si="10"/>
        <v>0.19976641715772148</v>
      </c>
      <c r="AD6" s="11">
        <f t="shared" si="11"/>
        <v>0.1999620877037786</v>
      </c>
      <c r="AF6" s="27">
        <f>+MIN(Y4:AD8)</f>
        <v>0.19822689387906775</v>
      </c>
      <c r="AG6" s="23" t="s">
        <v>53</v>
      </c>
    </row>
    <row r="7" spans="1:33">
      <c r="A7" t="s">
        <v>34</v>
      </c>
      <c r="B7">
        <v>2013</v>
      </c>
      <c r="C7" t="s">
        <v>35</v>
      </c>
      <c r="D7">
        <v>1384.2</v>
      </c>
      <c r="E7">
        <v>106</v>
      </c>
      <c r="F7">
        <v>104.2</v>
      </c>
      <c r="G7">
        <v>736.19999999999993</v>
      </c>
      <c r="H7">
        <v>210.10000000000002</v>
      </c>
      <c r="I7" s="1">
        <f>Table1__2[[#This Row],[Housing]]+Table1__2[[#This Row],[Household goods and services]]</f>
        <v>205.60000000000002</v>
      </c>
      <c r="J7">
        <v>105.3</v>
      </c>
      <c r="Q7" s="5" t="s">
        <v>37</v>
      </c>
      <c r="R7" s="5">
        <f>SUMIFS(D$2:D$367, $B$2:$B$367, $P$4, $C$2:C$367, $Q7, A$2:A$367, $Y$2)</f>
        <v>2274.1999999999998</v>
      </c>
      <c r="S7" s="5">
        <f t="shared" si="1"/>
        <v>181.5</v>
      </c>
      <c r="T7" s="5">
        <f t="shared" si="2"/>
        <v>169.4</v>
      </c>
      <c r="U7" s="5">
        <f t="shared" si="3"/>
        <v>1291.8000000000002</v>
      </c>
      <c r="V7" s="5">
        <f t="shared" si="4"/>
        <v>378.4</v>
      </c>
      <c r="W7" s="5">
        <f t="shared" si="5"/>
        <v>317.86</v>
      </c>
      <c r="X7" s="19" t="s">
        <v>37</v>
      </c>
      <c r="Y7" s="11">
        <f t="shared" si="6"/>
        <v>0.19984885233224364</v>
      </c>
      <c r="Z7" s="11">
        <f t="shared" si="7"/>
        <v>0.19940672379696772</v>
      </c>
      <c r="AA7" s="11">
        <f t="shared" si="8"/>
        <v>0.20040222406246305</v>
      </c>
      <c r="AB7" s="11">
        <f t="shared" si="9"/>
        <v>0.20073032398415044</v>
      </c>
      <c r="AC7" s="11">
        <f t="shared" si="10"/>
        <v>0.20088124435950519</v>
      </c>
      <c r="AD7" s="11">
        <f t="shared" si="11"/>
        <v>0.2008467079489448</v>
      </c>
    </row>
    <row r="8" spans="1:33">
      <c r="A8" t="s">
        <v>30</v>
      </c>
      <c r="B8">
        <v>2013</v>
      </c>
      <c r="C8" t="s">
        <v>36</v>
      </c>
      <c r="D8">
        <v>1382.2</v>
      </c>
      <c r="E8">
        <v>106.1</v>
      </c>
      <c r="F8">
        <v>104.6</v>
      </c>
      <c r="G8">
        <v>739.19999999999993</v>
      </c>
      <c r="H8">
        <v>211.1</v>
      </c>
      <c r="I8" s="1">
        <f>Table1__2[[#This Row],[Housing]]+Table1__2[[#This Row],[Household goods and services]]</f>
        <v>244.85999999999999</v>
      </c>
      <c r="J8">
        <v>106</v>
      </c>
      <c r="Q8" s="5" t="s">
        <v>38</v>
      </c>
      <c r="R8" s="5">
        <f>SUMIFS(D$2:D$367, $B$2:$B$367, $P$4, $C$2:C$367, $Q8, A$2:A$367, $Y$2)</f>
        <v>2290.7000000000007</v>
      </c>
      <c r="S8" s="5">
        <f t="shared" si="1"/>
        <v>182.5</v>
      </c>
      <c r="T8" s="5">
        <f t="shared" si="2"/>
        <v>169.7</v>
      </c>
      <c r="U8" s="5">
        <f t="shared" si="3"/>
        <v>1296.7</v>
      </c>
      <c r="V8" s="5">
        <f t="shared" si="4"/>
        <v>379.4</v>
      </c>
      <c r="W8" s="5">
        <f t="shared" si="5"/>
        <v>317.86</v>
      </c>
      <c r="X8" s="19" t="s">
        <v>38</v>
      </c>
      <c r="Y8" s="11">
        <f t="shared" si="6"/>
        <v>0.20129881542409228</v>
      </c>
      <c r="Z8" s="11">
        <f t="shared" si="7"/>
        <v>0.20050538343221272</v>
      </c>
      <c r="AA8" s="11">
        <f t="shared" si="8"/>
        <v>0.20075712764698922</v>
      </c>
      <c r="AB8" s="11">
        <f t="shared" si="9"/>
        <v>0.20149172558464767</v>
      </c>
      <c r="AC8" s="11">
        <f t="shared" si="10"/>
        <v>0.20141211445559268</v>
      </c>
      <c r="AD8" s="11">
        <f t="shared" si="11"/>
        <v>0.2008467079489448</v>
      </c>
    </row>
    <row r="9" spans="1:33">
      <c r="A9" t="s">
        <v>33</v>
      </c>
      <c r="B9">
        <v>2013</v>
      </c>
      <c r="C9" t="s">
        <v>36</v>
      </c>
      <c r="D9">
        <v>1386.8</v>
      </c>
      <c r="E9">
        <v>106</v>
      </c>
      <c r="F9">
        <v>105.5</v>
      </c>
      <c r="G9">
        <v>736.9</v>
      </c>
      <c r="H9">
        <v>211.7</v>
      </c>
      <c r="I9" s="1">
        <f>Table1__2[[#This Row],[Housing]]+Table1__2[[#This Row],[Household goods and services]]</f>
        <v>206.10000000000002</v>
      </c>
      <c r="J9">
        <v>105</v>
      </c>
      <c r="Q9" s="9" t="s">
        <v>57</v>
      </c>
      <c r="R9" s="14">
        <f>SUM(R4:R8)</f>
        <v>11379.6</v>
      </c>
      <c r="S9" s="14">
        <f t="shared" ref="S9:W9" si="12">SUM(S4:S8)</f>
        <v>910.19999999999993</v>
      </c>
      <c r="T9" s="14">
        <f t="shared" si="12"/>
        <v>845.3</v>
      </c>
      <c r="U9" s="14">
        <f t="shared" si="12"/>
        <v>6435.5</v>
      </c>
      <c r="V9" s="14">
        <f t="shared" si="12"/>
        <v>1883.7000000000003</v>
      </c>
      <c r="W9" s="14">
        <f t="shared" si="12"/>
        <v>1582.6</v>
      </c>
      <c r="X9" s="20"/>
    </row>
    <row r="10" spans="1:33">
      <c r="A10" t="s">
        <v>34</v>
      </c>
      <c r="B10">
        <v>2013</v>
      </c>
      <c r="C10" t="s">
        <v>36</v>
      </c>
      <c r="D10">
        <v>1384.0000000000002</v>
      </c>
      <c r="E10">
        <v>106.1</v>
      </c>
      <c r="F10">
        <v>105.1</v>
      </c>
      <c r="G10">
        <v>738.1</v>
      </c>
      <c r="H10">
        <v>211.3</v>
      </c>
      <c r="I10" s="1">
        <f>Table1__2[[#This Row],[Housing]]+Table1__2[[#This Row],[Household goods and services]]</f>
        <v>206</v>
      </c>
      <c r="J10">
        <v>105.5</v>
      </c>
      <c r="X10" s="17"/>
      <c r="Y10" s="24" t="s">
        <v>33</v>
      </c>
    </row>
    <row r="11" spans="1:33">
      <c r="A11" t="s">
        <v>30</v>
      </c>
      <c r="B11">
        <v>2013</v>
      </c>
      <c r="C11" t="s">
        <v>37</v>
      </c>
      <c r="D11">
        <v>1385.8</v>
      </c>
      <c r="E11">
        <v>106.5</v>
      </c>
      <c r="F11">
        <v>104.4</v>
      </c>
      <c r="G11">
        <v>740.59999999999991</v>
      </c>
      <c r="H11">
        <v>211.7</v>
      </c>
      <c r="I11" s="1">
        <f>Table1__2[[#This Row],[Housing]]+Table1__2[[#This Row],[Household goods and services]]</f>
        <v>245.35999999999999</v>
      </c>
      <c r="J11">
        <v>106.4</v>
      </c>
      <c r="Q11" s="8" t="s">
        <v>2</v>
      </c>
      <c r="R11" s="8" t="s">
        <v>49</v>
      </c>
      <c r="S11" s="8" t="s">
        <v>51</v>
      </c>
      <c r="T11" s="8" t="s">
        <v>50</v>
      </c>
      <c r="U11" s="8" t="s">
        <v>52</v>
      </c>
      <c r="V11" s="8" t="s">
        <v>53</v>
      </c>
      <c r="W11" s="8" t="s">
        <v>55</v>
      </c>
      <c r="X11" s="18" t="s">
        <v>2</v>
      </c>
      <c r="Y11" s="4" t="s">
        <v>49</v>
      </c>
      <c r="Z11" s="4" t="s">
        <v>51</v>
      </c>
      <c r="AA11" s="4" t="s">
        <v>50</v>
      </c>
      <c r="AB11" s="4" t="s">
        <v>52</v>
      </c>
      <c r="AC11" s="4" t="s">
        <v>53</v>
      </c>
      <c r="AD11" s="4" t="s">
        <v>55</v>
      </c>
    </row>
    <row r="12" spans="1:33">
      <c r="A12" t="s">
        <v>33</v>
      </c>
      <c r="B12">
        <v>2013</v>
      </c>
      <c r="C12" t="s">
        <v>37</v>
      </c>
      <c r="D12">
        <v>1397.6999999999998</v>
      </c>
      <c r="E12">
        <v>106.4</v>
      </c>
      <c r="F12">
        <v>105</v>
      </c>
      <c r="G12">
        <v>740.1</v>
      </c>
      <c r="H12">
        <v>213.6</v>
      </c>
      <c r="I12" s="1">
        <f>Table1__2[[#This Row],[Housing]]+Table1__2[[#This Row],[Household goods and services]]</f>
        <v>207</v>
      </c>
      <c r="J12">
        <v>105.7</v>
      </c>
      <c r="Q12" s="6" t="s">
        <v>31</v>
      </c>
      <c r="R12" s="6">
        <f>SUMIFS(D$2:D$367,$B$2:$B$367, $P$4, $C$2:C$367, $Q12, $A$2:$A$367, $Y$10)</f>
        <v>2310.2000000000003</v>
      </c>
      <c r="S12" s="6">
        <f t="shared" ref="S12:W16" si="13">SUMIFS(E$2:E$367,$B$2:$B$367, $P$4, $C$2:$C$367, $Q12, $A$2:$A$367, $Y$10)</f>
        <v>180.1</v>
      </c>
      <c r="T12" s="6">
        <f t="shared" si="13"/>
        <v>159.5</v>
      </c>
      <c r="U12" s="6">
        <f t="shared" si="13"/>
        <v>1217.5</v>
      </c>
      <c r="V12" s="6">
        <f t="shared" si="13"/>
        <v>370.5</v>
      </c>
      <c r="W12" s="6">
        <f t="shared" si="13"/>
        <v>338.70000000000005</v>
      </c>
      <c r="X12" s="19" t="s">
        <v>31</v>
      </c>
      <c r="Y12" s="12">
        <f>R12/R$17</f>
        <v>0.19967846770847741</v>
      </c>
      <c r="Z12" s="12">
        <f t="shared" ref="Z12:AD12" si="14">S12/S$17</f>
        <v>0.19769484083424807</v>
      </c>
      <c r="AA12" s="12">
        <f t="shared" si="14"/>
        <v>0.19947473736868435</v>
      </c>
      <c r="AB12" s="12">
        <f t="shared" si="14"/>
        <v>0.19791277207926264</v>
      </c>
      <c r="AC12" s="12">
        <f t="shared" si="14"/>
        <v>0.1985424146615937</v>
      </c>
      <c r="AD12" s="12">
        <f t="shared" si="14"/>
        <v>0.19897779344377867</v>
      </c>
    </row>
    <row r="13" spans="1:33">
      <c r="A13" t="s">
        <v>34</v>
      </c>
      <c r="B13">
        <v>2013</v>
      </c>
      <c r="C13" t="s">
        <v>37</v>
      </c>
      <c r="D13">
        <v>1390.2</v>
      </c>
      <c r="E13">
        <v>106.5</v>
      </c>
      <c r="F13">
        <v>104.7</v>
      </c>
      <c r="G13">
        <v>740.3</v>
      </c>
      <c r="H13">
        <v>212.3</v>
      </c>
      <c r="I13" s="1">
        <f>Table1__2[[#This Row],[Housing]]+Table1__2[[#This Row],[Household goods and services]]</f>
        <v>206.8</v>
      </c>
      <c r="J13">
        <v>106.1</v>
      </c>
      <c r="Q13" s="6" t="s">
        <v>35</v>
      </c>
      <c r="R13" s="6">
        <f>SUMIFS(D$2:D$367,$B$2:$B$367, $P$4, $C$2:C$367, $Q13, A$2:A$367, $Y$10)</f>
        <v>2303.1999999999998</v>
      </c>
      <c r="S13" s="6">
        <f t="shared" si="13"/>
        <v>182.8</v>
      </c>
      <c r="T13" s="6">
        <f t="shared" si="13"/>
        <v>159.80000000000001</v>
      </c>
      <c r="U13" s="6">
        <f t="shared" si="13"/>
        <v>1228.5999999999999</v>
      </c>
      <c r="V13" s="6">
        <f t="shared" si="13"/>
        <v>372.7</v>
      </c>
      <c r="W13" s="6">
        <f t="shared" si="13"/>
        <v>338</v>
      </c>
      <c r="X13" s="19" t="s">
        <v>35</v>
      </c>
      <c r="Y13" s="12">
        <f t="shared" ref="Y13:Y16" si="15">R13/R$17</f>
        <v>0.19907343382657999</v>
      </c>
      <c r="Z13" s="12">
        <f t="shared" ref="Z13:Z16" si="16">S13/S$17</f>
        <v>0.20065861690450057</v>
      </c>
      <c r="AA13" s="12">
        <f t="shared" ref="AA13:AA16" si="17">T13/T$17</f>
        <v>0.19984992496248125</v>
      </c>
      <c r="AB13" s="12">
        <f t="shared" ref="AB13:AB16" si="18">U13/U$17</f>
        <v>0.19971715135653559</v>
      </c>
      <c r="AC13" s="12">
        <f t="shared" ref="AC13:AC16" si="19">V13/V$17</f>
        <v>0.19972134397942232</v>
      </c>
      <c r="AD13" s="12">
        <f t="shared" ref="AD13:AD16" si="20">W13/W$17</f>
        <v>0.19856656092116085</v>
      </c>
    </row>
    <row r="14" spans="1:33">
      <c r="A14" t="s">
        <v>30</v>
      </c>
      <c r="B14">
        <v>2013</v>
      </c>
      <c r="C14" t="s">
        <v>38</v>
      </c>
      <c r="D14">
        <v>1394</v>
      </c>
      <c r="E14">
        <v>107.5</v>
      </c>
      <c r="F14">
        <v>104.1</v>
      </c>
      <c r="G14">
        <v>743.59999999999991</v>
      </c>
      <c r="H14">
        <v>212.89999999999998</v>
      </c>
      <c r="I14" s="1">
        <f>Table1__2[[#This Row],[Housing]]+Table1__2[[#This Row],[Household goods and services]]</f>
        <v>246.06</v>
      </c>
      <c r="J14">
        <v>107.2</v>
      </c>
      <c r="Q14" s="6" t="s">
        <v>36</v>
      </c>
      <c r="R14" s="6">
        <f>SUMIFS(D$2:D$367,$B$2:$B$367, $P$4, $C$2:C$367, $Q14, A$2:A$367, $Y$10)</f>
        <v>2303.4</v>
      </c>
      <c r="S14" s="6">
        <f t="shared" si="13"/>
        <v>182.6</v>
      </c>
      <c r="T14" s="6">
        <f t="shared" si="13"/>
        <v>159.80000000000001</v>
      </c>
      <c r="U14" s="6">
        <f t="shared" si="13"/>
        <v>1228.5999999999999</v>
      </c>
      <c r="V14" s="6">
        <f t="shared" si="13"/>
        <v>372.7</v>
      </c>
      <c r="W14" s="6">
        <f t="shared" si="13"/>
        <v>340.1</v>
      </c>
      <c r="X14" s="19" t="s">
        <v>36</v>
      </c>
      <c r="Y14" s="12">
        <f t="shared" si="15"/>
        <v>0.19909072050891993</v>
      </c>
      <c r="Z14" s="12">
        <f t="shared" si="16"/>
        <v>0.2004390779363337</v>
      </c>
      <c r="AA14" s="12">
        <f t="shared" si="17"/>
        <v>0.19984992496248125</v>
      </c>
      <c r="AB14" s="12">
        <f t="shared" si="18"/>
        <v>0.19971715135653559</v>
      </c>
      <c r="AC14" s="12">
        <f t="shared" si="19"/>
        <v>0.19972134397942232</v>
      </c>
      <c r="AD14" s="12">
        <f t="shared" si="20"/>
        <v>0.19980025848901423</v>
      </c>
      <c r="AF14" s="26">
        <f>MAX(Y12:AD16)</f>
        <v>0.20183065965979807</v>
      </c>
      <c r="AG14" s="4" t="s">
        <v>49</v>
      </c>
    </row>
    <row r="15" spans="1:33">
      <c r="A15" t="s">
        <v>33</v>
      </c>
      <c r="B15">
        <v>2013</v>
      </c>
      <c r="C15" t="s">
        <v>38</v>
      </c>
      <c r="D15">
        <v>1417.1999999999998</v>
      </c>
      <c r="E15">
        <v>107.2</v>
      </c>
      <c r="F15">
        <v>103.9</v>
      </c>
      <c r="G15">
        <v>742.60000000000014</v>
      </c>
      <c r="H15">
        <v>214.7</v>
      </c>
      <c r="I15" s="1">
        <f>Table1__2[[#This Row],[Housing]]+Table1__2[[#This Row],[Household goods and services]]</f>
        <v>207.6</v>
      </c>
      <c r="J15">
        <v>106.6</v>
      </c>
      <c r="Q15" s="6" t="s">
        <v>37</v>
      </c>
      <c r="R15" s="6">
        <f>SUMIFS(D$2:D$367,$B$2:$B$367, $P$4, $C$2:C$367, $Q15, A$2:A$367, $Y$10)</f>
        <v>2317.7000000000003</v>
      </c>
      <c r="S15" s="6">
        <f t="shared" si="13"/>
        <v>182.1</v>
      </c>
      <c r="T15" s="6">
        <f t="shared" si="13"/>
        <v>160.1</v>
      </c>
      <c r="U15" s="6">
        <f t="shared" si="13"/>
        <v>1236.5</v>
      </c>
      <c r="V15" s="6">
        <f t="shared" si="13"/>
        <v>374.4</v>
      </c>
      <c r="W15" s="6">
        <f t="shared" si="13"/>
        <v>342.7</v>
      </c>
      <c r="X15" s="19" t="s">
        <v>37</v>
      </c>
      <c r="Y15" s="12">
        <f t="shared" si="15"/>
        <v>0.20032671829622462</v>
      </c>
      <c r="Z15" s="12">
        <f t="shared" si="16"/>
        <v>0.19989023051591656</v>
      </c>
      <c r="AA15" s="12">
        <f t="shared" si="17"/>
        <v>0.20022511255627812</v>
      </c>
      <c r="AB15" s="12">
        <f t="shared" si="18"/>
        <v>0.20100134922054066</v>
      </c>
      <c r="AC15" s="12">
        <f t="shared" si="19"/>
        <v>0.20063233481592624</v>
      </c>
      <c r="AD15" s="12">
        <f t="shared" si="20"/>
        <v>0.20132769357302313</v>
      </c>
      <c r="AF15" s="27">
        <f>MIN(Y12:AD16)</f>
        <v>0.19769484083424807</v>
      </c>
      <c r="AG15" s="23" t="s">
        <v>51</v>
      </c>
    </row>
    <row r="16" spans="1:33">
      <c r="A16" t="s">
        <v>34</v>
      </c>
      <c r="B16">
        <v>2013</v>
      </c>
      <c r="C16" t="s">
        <v>38</v>
      </c>
      <c r="D16">
        <v>1402.1999999999998</v>
      </c>
      <c r="E16">
        <v>107.4</v>
      </c>
      <c r="F16">
        <v>104</v>
      </c>
      <c r="G16">
        <v>743.2</v>
      </c>
      <c r="H16">
        <v>213.39999999999998</v>
      </c>
      <c r="I16" s="1">
        <f>Table1__2[[#This Row],[Housing]]+Table1__2[[#This Row],[Household goods and services]]</f>
        <v>207.4</v>
      </c>
      <c r="J16">
        <v>106.9</v>
      </c>
      <c r="Q16" s="6" t="s">
        <v>38</v>
      </c>
      <c r="R16" s="6">
        <f>SUMIFS(D$2:D$367,$B$2:$B$367, $P$4, $C$2:C$367, $Q16, A$2:A$367, $Y$10)</f>
        <v>2335.1</v>
      </c>
      <c r="S16" s="6">
        <f t="shared" si="13"/>
        <v>183.4</v>
      </c>
      <c r="T16" s="6">
        <f t="shared" si="13"/>
        <v>160.4</v>
      </c>
      <c r="U16" s="6">
        <f t="shared" si="13"/>
        <v>1240.4999999999998</v>
      </c>
      <c r="V16" s="6">
        <f t="shared" si="13"/>
        <v>375.79999999999995</v>
      </c>
      <c r="W16" s="6">
        <f t="shared" si="13"/>
        <v>342.7</v>
      </c>
      <c r="X16" s="19" t="s">
        <v>38</v>
      </c>
      <c r="Y16" s="12">
        <f t="shared" si="15"/>
        <v>0.20183065965979807</v>
      </c>
      <c r="Z16" s="12">
        <f t="shared" si="16"/>
        <v>0.2013172338090011</v>
      </c>
      <c r="AA16" s="12">
        <f t="shared" si="17"/>
        <v>0.20060030015007504</v>
      </c>
      <c r="AB16" s="12">
        <f t="shared" si="18"/>
        <v>0.20165157598712549</v>
      </c>
      <c r="AC16" s="12">
        <f t="shared" si="19"/>
        <v>0.20138256256363535</v>
      </c>
      <c r="AD16" s="12">
        <f t="shared" si="20"/>
        <v>0.20132769357302313</v>
      </c>
    </row>
    <row r="17" spans="1:33">
      <c r="A17" t="s">
        <v>30</v>
      </c>
      <c r="B17">
        <v>2013</v>
      </c>
      <c r="C17" t="s">
        <v>39</v>
      </c>
      <c r="D17">
        <v>1420</v>
      </c>
      <c r="E17">
        <v>108.5</v>
      </c>
      <c r="F17">
        <v>105</v>
      </c>
      <c r="G17">
        <v>748.9</v>
      </c>
      <c r="H17">
        <v>214.5</v>
      </c>
      <c r="I17" s="1">
        <f>Table1__2[[#This Row],[Housing]]+Table1__2[[#This Row],[Household goods and services]]</f>
        <v>246.76</v>
      </c>
      <c r="J17">
        <v>108.9</v>
      </c>
      <c r="Q17" s="9" t="s">
        <v>57</v>
      </c>
      <c r="R17" s="15">
        <f>SUM(R12:R16)</f>
        <v>11569.6</v>
      </c>
      <c r="S17" s="15">
        <f t="shared" ref="S17" si="21">SUM(S12:S16)</f>
        <v>911</v>
      </c>
      <c r="T17" s="15">
        <f t="shared" ref="T17" si="22">SUM(T12:T16)</f>
        <v>799.6</v>
      </c>
      <c r="U17" s="15">
        <f t="shared" ref="U17" si="23">SUM(U12:U16)</f>
        <v>6151.7</v>
      </c>
      <c r="V17" s="15">
        <f t="shared" ref="V17" si="24">SUM(V12:V16)</f>
        <v>1866.1000000000001</v>
      </c>
      <c r="W17" s="15">
        <f t="shared" ref="W17" si="25">SUM(W12:W16)</f>
        <v>1702.2</v>
      </c>
      <c r="X17" s="21"/>
      <c r="Y17" s="10"/>
    </row>
    <row r="18" spans="1:33">
      <c r="A18" t="s">
        <v>33</v>
      </c>
      <c r="B18">
        <v>2013</v>
      </c>
      <c r="C18" t="s">
        <v>39</v>
      </c>
      <c r="D18">
        <v>1464.6000000000001</v>
      </c>
      <c r="E18">
        <v>108</v>
      </c>
      <c r="F18">
        <v>105.2</v>
      </c>
      <c r="G18">
        <v>748.40000000000009</v>
      </c>
      <c r="H18">
        <v>217</v>
      </c>
      <c r="I18" s="1">
        <f>Table1__2[[#This Row],[Housing]]+Table1__2[[#This Row],[Household goods and services]]</f>
        <v>214.3</v>
      </c>
      <c r="J18">
        <v>109.7</v>
      </c>
      <c r="X18" s="17"/>
      <c r="Y18" s="24" t="s">
        <v>34</v>
      </c>
    </row>
    <row r="19" spans="1:33">
      <c r="A19" t="s">
        <v>34</v>
      </c>
      <c r="B19">
        <v>2013</v>
      </c>
      <c r="C19" t="s">
        <v>39</v>
      </c>
      <c r="D19">
        <v>1436</v>
      </c>
      <c r="E19">
        <v>108.3</v>
      </c>
      <c r="F19">
        <v>105.1</v>
      </c>
      <c r="G19">
        <v>748.9</v>
      </c>
      <c r="H19">
        <v>215.3</v>
      </c>
      <c r="I19" s="1">
        <f>Table1__2[[#This Row],[Housing]]+Table1__2[[#This Row],[Household goods and services]]</f>
        <v>214.2</v>
      </c>
      <c r="J19">
        <v>109.3</v>
      </c>
      <c r="Q19" s="8" t="s">
        <v>2</v>
      </c>
      <c r="R19" s="8" t="s">
        <v>49</v>
      </c>
      <c r="S19" s="8" t="s">
        <v>51</v>
      </c>
      <c r="T19" s="8" t="s">
        <v>50</v>
      </c>
      <c r="U19" s="8" t="s">
        <v>52</v>
      </c>
      <c r="V19" s="8" t="s">
        <v>53</v>
      </c>
      <c r="W19" s="8" t="s">
        <v>55</v>
      </c>
      <c r="X19" s="18" t="s">
        <v>2</v>
      </c>
      <c r="Y19" s="4" t="s">
        <v>49</v>
      </c>
      <c r="Z19" s="4" t="s">
        <v>51</v>
      </c>
      <c r="AA19" s="4" t="s">
        <v>50</v>
      </c>
      <c r="AB19" s="4" t="s">
        <v>52</v>
      </c>
      <c r="AC19" s="4" t="s">
        <v>53</v>
      </c>
      <c r="AD19" s="4" t="s">
        <v>55</v>
      </c>
    </row>
    <row r="20" spans="1:33">
      <c r="A20" t="s">
        <v>30</v>
      </c>
      <c r="B20">
        <v>2013</v>
      </c>
      <c r="C20" t="s">
        <v>40</v>
      </c>
      <c r="D20">
        <v>1445.8999999999996</v>
      </c>
      <c r="E20">
        <v>109.5</v>
      </c>
      <c r="F20">
        <v>106.8</v>
      </c>
      <c r="G20">
        <v>753.9</v>
      </c>
      <c r="H20">
        <v>216.3</v>
      </c>
      <c r="I20" s="1">
        <f>Table1__2[[#This Row],[Housing]]+Table1__2[[#This Row],[Household goods and services]]</f>
        <v>247.56</v>
      </c>
      <c r="J20">
        <v>110.7</v>
      </c>
      <c r="Q20" s="6" t="s">
        <v>31</v>
      </c>
      <c r="R20" s="6">
        <f t="shared" ref="R20:W24" si="26">SUMIFS(D$2:D$367,$B$2:$B$367, $P$4, $C$2:$C$367, $Q20, $A$2:$A$367, $Y$18)</f>
        <v>2292.6999999999998</v>
      </c>
      <c r="S20" s="6">
        <f t="shared" si="26"/>
        <v>182</v>
      </c>
      <c r="T20" s="6">
        <f t="shared" si="26"/>
        <v>163.6</v>
      </c>
      <c r="U20" s="6">
        <f t="shared" si="26"/>
        <v>1251</v>
      </c>
      <c r="V20" s="6">
        <f t="shared" si="26"/>
        <v>371</v>
      </c>
      <c r="W20" s="6">
        <f t="shared" si="26"/>
        <v>343.20000000000005</v>
      </c>
      <c r="X20" s="19" t="s">
        <v>31</v>
      </c>
      <c r="Y20" s="12">
        <f>R20/R$25</f>
        <v>0.20027953701681592</v>
      </c>
      <c r="Z20" s="12">
        <f t="shared" ref="Z20:AD20" si="27">S20/S$25</f>
        <v>0.19989017023613398</v>
      </c>
      <c r="AA20" s="12">
        <f t="shared" si="27"/>
        <v>0.19919639595762814</v>
      </c>
      <c r="AB20" s="12">
        <f t="shared" si="27"/>
        <v>0.19817507841459939</v>
      </c>
      <c r="AC20" s="12">
        <f t="shared" si="27"/>
        <v>0.19834268912055597</v>
      </c>
      <c r="AD20" s="12">
        <f t="shared" si="27"/>
        <v>0.1987951807228916</v>
      </c>
    </row>
    <row r="21" spans="1:33">
      <c r="A21" t="s">
        <v>33</v>
      </c>
      <c r="B21">
        <v>2013</v>
      </c>
      <c r="C21" t="s">
        <v>40</v>
      </c>
      <c r="D21">
        <v>1489.4</v>
      </c>
      <c r="E21">
        <v>108.6</v>
      </c>
      <c r="F21">
        <v>107.3</v>
      </c>
      <c r="G21">
        <v>753.4</v>
      </c>
      <c r="H21">
        <v>219</v>
      </c>
      <c r="I21" s="1">
        <f>Table1__2[[#This Row],[Housing]]+Table1__2[[#This Row],[Household goods and services]]</f>
        <v>215.8</v>
      </c>
      <c r="J21">
        <v>111.4</v>
      </c>
      <c r="Q21" s="6" t="s">
        <v>35</v>
      </c>
      <c r="R21" s="6">
        <f t="shared" si="26"/>
        <v>2279.1</v>
      </c>
      <c r="S21" s="6">
        <f t="shared" si="26"/>
        <v>182.1</v>
      </c>
      <c r="T21" s="6">
        <f t="shared" si="26"/>
        <v>164.2</v>
      </c>
      <c r="U21" s="6">
        <f t="shared" si="26"/>
        <v>1260.7</v>
      </c>
      <c r="V21" s="6">
        <f t="shared" si="26"/>
        <v>373.6</v>
      </c>
      <c r="W21" s="6">
        <f t="shared" si="26"/>
        <v>342.79999999999995</v>
      </c>
      <c r="X21" s="19" t="s">
        <v>35</v>
      </c>
      <c r="Y21" s="12">
        <f t="shared" ref="Y21:Y24" si="28">R21/R$25</f>
        <v>0.19909150469534836</v>
      </c>
      <c r="Z21" s="12">
        <f t="shared" ref="Z21:Z24" si="29">S21/S$25</f>
        <v>0.19999999999999998</v>
      </c>
      <c r="AA21" s="12">
        <f t="shared" ref="AA21:AA24" si="30">T21/T$25</f>
        <v>0.19992694508705711</v>
      </c>
      <c r="AB21" s="12">
        <f t="shared" ref="AB21:AB24" si="31">U21/U$25</f>
        <v>0.19971168773563985</v>
      </c>
      <c r="AC21" s="12">
        <f t="shared" ref="AC21:AC24" si="32">V21/V$25</f>
        <v>0.19973269179363806</v>
      </c>
      <c r="AD21" s="12">
        <f t="shared" ref="AD21:AD24" si="33">W21/W$25</f>
        <v>0.19856348470806298</v>
      </c>
    </row>
    <row r="22" spans="1:33">
      <c r="A22" t="s">
        <v>34</v>
      </c>
      <c r="B22">
        <v>2013</v>
      </c>
      <c r="C22" t="s">
        <v>40</v>
      </c>
      <c r="D22">
        <v>1461.3999999999999</v>
      </c>
      <c r="E22">
        <v>109.2</v>
      </c>
      <c r="F22">
        <v>107.1</v>
      </c>
      <c r="G22">
        <v>754</v>
      </c>
      <c r="H22">
        <v>217.2</v>
      </c>
      <c r="I22" s="1">
        <f>Table1__2[[#This Row],[Housing]]+Table1__2[[#This Row],[Household goods and services]]</f>
        <v>215.9</v>
      </c>
      <c r="J22">
        <v>111</v>
      </c>
      <c r="Q22" s="6" t="s">
        <v>36</v>
      </c>
      <c r="R22" s="6">
        <f t="shared" si="26"/>
        <v>2279.1999999999998</v>
      </c>
      <c r="S22" s="6">
        <f t="shared" si="26"/>
        <v>181.9</v>
      </c>
      <c r="T22" s="6">
        <f t="shared" si="26"/>
        <v>164.2</v>
      </c>
      <c r="U22" s="6">
        <f t="shared" si="26"/>
        <v>1260.5999999999999</v>
      </c>
      <c r="V22" s="6">
        <f t="shared" si="26"/>
        <v>373.6</v>
      </c>
      <c r="W22" s="6">
        <f t="shared" si="26"/>
        <v>345</v>
      </c>
      <c r="X22" s="19" t="s">
        <v>36</v>
      </c>
      <c r="Y22" s="12">
        <f t="shared" si="28"/>
        <v>0.19910024022712383</v>
      </c>
      <c r="Z22" s="12">
        <f t="shared" si="29"/>
        <v>0.199780340472268</v>
      </c>
      <c r="AA22" s="12">
        <f t="shared" si="30"/>
        <v>0.19992694508705711</v>
      </c>
      <c r="AB22" s="12">
        <f t="shared" si="31"/>
        <v>0.19969584640243324</v>
      </c>
      <c r="AC22" s="12">
        <f t="shared" si="32"/>
        <v>0.19973269179363806</v>
      </c>
      <c r="AD22" s="12">
        <f t="shared" si="33"/>
        <v>0.19983781278962001</v>
      </c>
      <c r="AF22" s="26">
        <f>MAX(Y20:AD24)</f>
        <v>0.20156512372081234</v>
      </c>
      <c r="AG22" s="4" t="s">
        <v>52</v>
      </c>
    </row>
    <row r="23" spans="1:33">
      <c r="A23" t="s">
        <v>30</v>
      </c>
      <c r="B23">
        <v>2013</v>
      </c>
      <c r="C23" t="s">
        <v>41</v>
      </c>
      <c r="D23">
        <v>1462.5</v>
      </c>
      <c r="E23">
        <v>109.9</v>
      </c>
      <c r="F23">
        <v>107.8</v>
      </c>
      <c r="G23">
        <v>760.6</v>
      </c>
      <c r="H23">
        <v>218.2</v>
      </c>
      <c r="I23" s="1">
        <f>Table1__2[[#This Row],[Housing]]+Table1__2[[#This Row],[Household goods and services]]</f>
        <v>247.95999999999998</v>
      </c>
      <c r="J23">
        <v>112.1</v>
      </c>
      <c r="Q23" s="6" t="s">
        <v>37</v>
      </c>
      <c r="R23" s="6">
        <f t="shared" si="26"/>
        <v>2289.6000000000004</v>
      </c>
      <c r="S23" s="6">
        <f t="shared" si="26"/>
        <v>181.7</v>
      </c>
      <c r="T23" s="6">
        <f t="shared" si="26"/>
        <v>164.5</v>
      </c>
      <c r="U23" s="6">
        <f t="shared" si="26"/>
        <v>1267.9000000000001</v>
      </c>
      <c r="V23" s="6">
        <f t="shared" si="26"/>
        <v>375.6</v>
      </c>
      <c r="W23" s="6">
        <f t="shared" si="26"/>
        <v>347.7</v>
      </c>
      <c r="X23" s="19" t="s">
        <v>37</v>
      </c>
      <c r="Y23" s="12">
        <f t="shared" si="28"/>
        <v>0.20000873553177556</v>
      </c>
      <c r="Z23" s="12">
        <f t="shared" si="29"/>
        <v>0.19956068094453597</v>
      </c>
      <c r="AA23" s="12">
        <f t="shared" si="30"/>
        <v>0.2002922196517716</v>
      </c>
      <c r="AB23" s="12">
        <f t="shared" si="31"/>
        <v>0.20085226372651527</v>
      </c>
      <c r="AC23" s="12">
        <f t="shared" si="32"/>
        <v>0.2008019246190858</v>
      </c>
      <c r="AD23" s="12">
        <f t="shared" si="33"/>
        <v>0.20140176088971268</v>
      </c>
      <c r="AF23" s="27">
        <f>MIN(Y20:AD24)</f>
        <v>0.19817507841459939</v>
      </c>
      <c r="AG23" s="23" t="s">
        <v>52</v>
      </c>
    </row>
    <row r="24" spans="1:33">
      <c r="A24" t="s">
        <v>33</v>
      </c>
      <c r="B24">
        <v>2013</v>
      </c>
      <c r="C24" t="s">
        <v>41</v>
      </c>
      <c r="D24">
        <v>1506.1000000000001</v>
      </c>
      <c r="E24">
        <v>109.3</v>
      </c>
      <c r="F24">
        <v>108.1</v>
      </c>
      <c r="G24">
        <v>759.99999999999989</v>
      </c>
      <c r="H24">
        <v>220.7</v>
      </c>
      <c r="I24" s="1">
        <f>Table1__2[[#This Row],[Housing]]+Table1__2[[#This Row],[Household goods and services]]</f>
        <v>217.60000000000002</v>
      </c>
      <c r="J24">
        <v>112.7</v>
      </c>
      <c r="Q24" s="6" t="s">
        <v>38</v>
      </c>
      <c r="R24" s="6">
        <f t="shared" si="26"/>
        <v>2306.9</v>
      </c>
      <c r="S24" s="6">
        <f t="shared" si="26"/>
        <v>182.8</v>
      </c>
      <c r="T24" s="6">
        <f t="shared" si="26"/>
        <v>164.8</v>
      </c>
      <c r="U24" s="6">
        <f t="shared" si="26"/>
        <v>1272.3999999999999</v>
      </c>
      <c r="V24" s="6">
        <f t="shared" si="26"/>
        <v>376.7</v>
      </c>
      <c r="W24" s="6">
        <f t="shared" si="26"/>
        <v>347.7</v>
      </c>
      <c r="X24" s="19" t="s">
        <v>38</v>
      </c>
      <c r="Y24" s="12">
        <f t="shared" si="28"/>
        <v>0.20151998252893649</v>
      </c>
      <c r="Z24" s="12">
        <f t="shared" si="29"/>
        <v>0.20076880834706207</v>
      </c>
      <c r="AA24" s="12">
        <f t="shared" si="30"/>
        <v>0.20065749421648607</v>
      </c>
      <c r="AB24" s="12">
        <f t="shared" si="31"/>
        <v>0.20156512372081234</v>
      </c>
      <c r="AC24" s="12">
        <f t="shared" si="32"/>
        <v>0.20139000267308202</v>
      </c>
      <c r="AD24" s="12">
        <f t="shared" si="33"/>
        <v>0.20140176088971268</v>
      </c>
    </row>
    <row r="25" spans="1:33">
      <c r="A25" t="s">
        <v>34</v>
      </c>
      <c r="B25">
        <v>2013</v>
      </c>
      <c r="C25" t="s">
        <v>41</v>
      </c>
      <c r="D25">
        <v>1477.4</v>
      </c>
      <c r="E25">
        <v>109.7</v>
      </c>
      <c r="F25">
        <v>108</v>
      </c>
      <c r="G25">
        <v>760.5</v>
      </c>
      <c r="H25">
        <v>219.10000000000002</v>
      </c>
      <c r="I25" s="1">
        <f>Table1__2[[#This Row],[Housing]]+Table1__2[[#This Row],[Household goods and services]]</f>
        <v>217.60000000000002</v>
      </c>
      <c r="J25">
        <v>112.4</v>
      </c>
      <c r="Q25" s="9" t="s">
        <v>57</v>
      </c>
      <c r="R25" s="14">
        <f>SUM(R20:R24)</f>
        <v>11447.499999999998</v>
      </c>
      <c r="S25" s="14">
        <f t="shared" ref="S25" si="34">SUM(S20:S24)</f>
        <v>910.5</v>
      </c>
      <c r="T25" s="14">
        <f t="shared" ref="T25" si="35">SUM(T20:T24)</f>
        <v>821.3</v>
      </c>
      <c r="U25" s="14">
        <f t="shared" ref="U25" si="36">SUM(U20:U24)</f>
        <v>6312.5999999999995</v>
      </c>
      <c r="V25" s="14">
        <f t="shared" ref="V25" si="37">SUM(V20:V24)</f>
        <v>1870.5000000000002</v>
      </c>
      <c r="W25" s="14">
        <f t="shared" ref="W25" si="38">SUM(W20:W24)</f>
        <v>1726.4</v>
      </c>
      <c r="X25" s="16"/>
      <c r="Y25" s="7"/>
      <c r="Z25" s="7"/>
      <c r="AA25" s="7"/>
      <c r="AB25" s="7"/>
      <c r="AC25" s="7"/>
      <c r="AD25" s="7"/>
    </row>
    <row r="26" spans="1:33">
      <c r="A26" t="s">
        <v>30</v>
      </c>
      <c r="B26">
        <v>2013</v>
      </c>
      <c r="C26" t="s">
        <v>42</v>
      </c>
      <c r="D26">
        <v>1488.5000000000002</v>
      </c>
      <c r="E26">
        <v>111.1</v>
      </c>
      <c r="F26">
        <v>109.3</v>
      </c>
      <c r="G26">
        <v>769.09999999999991</v>
      </c>
      <c r="H26">
        <v>220.4</v>
      </c>
      <c r="I26" s="1">
        <f>Table1__2[[#This Row],[Housing]]+Table1__2[[#This Row],[Household goods and services]]</f>
        <v>248.85999999999999</v>
      </c>
      <c r="J26">
        <v>114.2</v>
      </c>
    </row>
    <row r="27" spans="1:33">
      <c r="A27" t="s">
        <v>33</v>
      </c>
      <c r="B27">
        <v>2013</v>
      </c>
      <c r="C27" t="s">
        <v>42</v>
      </c>
      <c r="D27">
        <v>1500.4</v>
      </c>
      <c r="E27">
        <v>109.5</v>
      </c>
      <c r="F27">
        <v>110.4</v>
      </c>
      <c r="G27">
        <v>764.9</v>
      </c>
      <c r="H27">
        <v>222.3</v>
      </c>
      <c r="I27" s="1">
        <f>Table1__2[[#This Row],[Housing]]+Table1__2[[#This Row],[Household goods and services]]</f>
        <v>219.3</v>
      </c>
      <c r="J27">
        <v>113.2</v>
      </c>
    </row>
    <row r="28" spans="1:33">
      <c r="A28" t="s">
        <v>34</v>
      </c>
      <c r="B28">
        <v>2013</v>
      </c>
      <c r="C28" t="s">
        <v>42</v>
      </c>
      <c r="D28">
        <v>1491.6999999999998</v>
      </c>
      <c r="E28">
        <v>110.5</v>
      </c>
      <c r="F28">
        <v>109.9</v>
      </c>
      <c r="G28">
        <v>767.50000000000011</v>
      </c>
      <c r="H28">
        <v>221</v>
      </c>
      <c r="I28" s="1">
        <f>Table1__2[[#This Row],[Housing]]+Table1__2[[#This Row],[Household goods and services]]</f>
        <v>219.3</v>
      </c>
      <c r="J28">
        <v>113.7</v>
      </c>
      <c r="Y28" s="22"/>
    </row>
    <row r="29" spans="1:33">
      <c r="A29" t="s">
        <v>30</v>
      </c>
      <c r="B29">
        <v>2013</v>
      </c>
      <c r="C29" t="s">
        <v>43</v>
      </c>
      <c r="D29">
        <v>1508</v>
      </c>
      <c r="E29">
        <v>111.6</v>
      </c>
      <c r="F29">
        <v>109.3</v>
      </c>
      <c r="G29">
        <v>774.2</v>
      </c>
      <c r="H29">
        <v>221.3</v>
      </c>
      <c r="I29" s="1">
        <f>Table1__2[[#This Row],[Housing]]+Table1__2[[#This Row],[Household goods and services]]</f>
        <v>249.66</v>
      </c>
      <c r="J29">
        <v>115.5</v>
      </c>
    </row>
    <row r="30" spans="1:33">
      <c r="A30" t="s">
        <v>33</v>
      </c>
      <c r="B30">
        <v>2013</v>
      </c>
      <c r="C30" t="s">
        <v>43</v>
      </c>
      <c r="D30">
        <v>1517.1999999999998</v>
      </c>
      <c r="E30">
        <v>109.7</v>
      </c>
      <c r="F30">
        <v>109.7</v>
      </c>
      <c r="G30">
        <v>769</v>
      </c>
      <c r="H30">
        <v>222.9</v>
      </c>
      <c r="I30" s="1">
        <f>Table1__2[[#This Row],[Housing]]+Table1__2[[#This Row],[Household goods and services]]</f>
        <v>220.7</v>
      </c>
      <c r="J30">
        <v>114</v>
      </c>
    </row>
    <row r="31" spans="1:33">
      <c r="A31" t="s">
        <v>34</v>
      </c>
      <c r="B31">
        <v>2013</v>
      </c>
      <c r="C31" t="s">
        <v>43</v>
      </c>
      <c r="D31">
        <v>1510.2000000000003</v>
      </c>
      <c r="E31">
        <v>110.9</v>
      </c>
      <c r="F31">
        <v>109.5</v>
      </c>
      <c r="G31">
        <v>772.1</v>
      </c>
      <c r="H31">
        <v>221.7</v>
      </c>
      <c r="I31" s="1">
        <f>Table1__2[[#This Row],[Housing]]+Table1__2[[#This Row],[Household goods and services]]</f>
        <v>220.8</v>
      </c>
      <c r="J31">
        <v>114.8</v>
      </c>
    </row>
    <row r="32" spans="1:33">
      <c r="A32" t="s">
        <v>30</v>
      </c>
      <c r="B32">
        <v>2013</v>
      </c>
      <c r="C32" t="s">
        <v>44</v>
      </c>
      <c r="D32">
        <v>1536.8</v>
      </c>
      <c r="E32">
        <v>112.6</v>
      </c>
      <c r="F32">
        <v>109.6</v>
      </c>
      <c r="G32">
        <v>779.7</v>
      </c>
      <c r="H32">
        <v>222.6</v>
      </c>
      <c r="I32" s="1">
        <f>Table1__2[[#This Row],[Housing]]+Table1__2[[#This Row],[Household goods and services]]</f>
        <v>250.56</v>
      </c>
      <c r="J32">
        <v>117.4</v>
      </c>
    </row>
    <row r="33" spans="1:10">
      <c r="A33" t="s">
        <v>33</v>
      </c>
      <c r="B33">
        <v>2013</v>
      </c>
      <c r="C33" t="s">
        <v>45</v>
      </c>
      <c r="D33">
        <v>1544.6</v>
      </c>
      <c r="E33">
        <v>110</v>
      </c>
      <c r="F33">
        <v>109.5</v>
      </c>
      <c r="G33">
        <v>773.09999999999991</v>
      </c>
      <c r="H33">
        <v>223.7</v>
      </c>
      <c r="I33" s="1">
        <f>Table1__2[[#This Row],[Housing]]+Table1__2[[#This Row],[Household goods and services]]</f>
        <v>222</v>
      </c>
      <c r="J33">
        <v>115</v>
      </c>
    </row>
    <row r="34" spans="1:10">
      <c r="A34" t="s">
        <v>34</v>
      </c>
      <c r="B34">
        <v>2013</v>
      </c>
      <c r="C34" t="s">
        <v>45</v>
      </c>
      <c r="D34">
        <v>1538.8</v>
      </c>
      <c r="E34">
        <v>111.6</v>
      </c>
      <c r="F34">
        <v>109.5</v>
      </c>
      <c r="G34">
        <v>777.1</v>
      </c>
      <c r="H34">
        <v>222.8</v>
      </c>
      <c r="I34" s="1">
        <f>Table1__2[[#This Row],[Housing]]+Table1__2[[#This Row],[Household goods and services]]</f>
        <v>222.2</v>
      </c>
      <c r="J34">
        <v>116.3</v>
      </c>
    </row>
    <row r="35" spans="1:10">
      <c r="A35" t="s">
        <v>30</v>
      </c>
      <c r="B35">
        <v>2013</v>
      </c>
      <c r="C35" t="s">
        <v>46</v>
      </c>
      <c r="D35">
        <v>1509</v>
      </c>
      <c r="E35">
        <v>112.8</v>
      </c>
      <c r="F35">
        <v>109.9</v>
      </c>
      <c r="G35">
        <v>784.3</v>
      </c>
      <c r="H35">
        <v>223.7</v>
      </c>
      <c r="I35" s="1">
        <f>Table1__2[[#This Row],[Housing]]+Table1__2[[#This Row],[Household goods and services]]</f>
        <v>251.35999999999999</v>
      </c>
      <c r="J35">
        <v>115.5</v>
      </c>
    </row>
    <row r="36" spans="1:10">
      <c r="A36" t="s">
        <v>33</v>
      </c>
      <c r="B36">
        <v>2013</v>
      </c>
      <c r="C36" t="s">
        <v>46</v>
      </c>
      <c r="D36">
        <v>1504.4</v>
      </c>
      <c r="E36">
        <v>110.4</v>
      </c>
      <c r="F36">
        <v>109.7</v>
      </c>
      <c r="G36">
        <v>775.8</v>
      </c>
      <c r="H36">
        <v>224.8</v>
      </c>
      <c r="I36" s="1">
        <f>Table1__2[[#This Row],[Housing]]+Table1__2[[#This Row],[Household goods and services]]</f>
        <v>222</v>
      </c>
      <c r="J36">
        <v>113.3</v>
      </c>
    </row>
    <row r="37" spans="1:10">
      <c r="A37" t="s">
        <v>34</v>
      </c>
      <c r="B37">
        <v>2013</v>
      </c>
      <c r="C37" t="s">
        <v>46</v>
      </c>
      <c r="D37">
        <v>1507.3000000000002</v>
      </c>
      <c r="E37">
        <v>111.9</v>
      </c>
      <c r="F37">
        <v>109.8</v>
      </c>
      <c r="G37">
        <v>780.80000000000007</v>
      </c>
      <c r="H37">
        <v>224</v>
      </c>
      <c r="I37" s="1">
        <f>Table1__2[[#This Row],[Housing]]+Table1__2[[#This Row],[Household goods and services]]</f>
        <v>222.4</v>
      </c>
      <c r="J37">
        <v>114.5</v>
      </c>
    </row>
    <row r="38" spans="1:10">
      <c r="A38" t="s">
        <v>30</v>
      </c>
      <c r="B38">
        <v>2014</v>
      </c>
      <c r="C38" t="s">
        <v>31</v>
      </c>
      <c r="D38">
        <v>1486.6000000000001</v>
      </c>
      <c r="E38">
        <v>113</v>
      </c>
      <c r="F38">
        <v>110.5</v>
      </c>
      <c r="G38">
        <v>787.49999999999989</v>
      </c>
      <c r="H38">
        <v>224.6</v>
      </c>
      <c r="I38" s="1">
        <f>Table1__2[[#This Row],[Housing]]+Table1__2[[#This Row],[Household goods and services]]</f>
        <v>251.85999999999999</v>
      </c>
      <c r="J38">
        <v>114.2</v>
      </c>
    </row>
    <row r="39" spans="1:10">
      <c r="A39" t="s">
        <v>33</v>
      </c>
      <c r="B39">
        <v>2014</v>
      </c>
      <c r="C39" t="s">
        <v>31</v>
      </c>
      <c r="D39">
        <v>1484.3</v>
      </c>
      <c r="E39">
        <v>111</v>
      </c>
      <c r="F39">
        <v>110.8</v>
      </c>
      <c r="G39">
        <v>779.4</v>
      </c>
      <c r="H39">
        <v>226.2</v>
      </c>
      <c r="I39" s="1">
        <f>Table1__2[[#This Row],[Housing]]+Table1__2[[#This Row],[Household goods and services]]</f>
        <v>223.5</v>
      </c>
      <c r="J39">
        <v>112.9</v>
      </c>
    </row>
    <row r="40" spans="1:10">
      <c r="A40" t="s">
        <v>34</v>
      </c>
      <c r="B40">
        <v>2014</v>
      </c>
      <c r="C40" t="s">
        <v>31</v>
      </c>
      <c r="D40">
        <v>1485.7999999999997</v>
      </c>
      <c r="E40">
        <v>112.2</v>
      </c>
      <c r="F40">
        <v>110.7</v>
      </c>
      <c r="G40">
        <v>784.2</v>
      </c>
      <c r="H40">
        <v>225.1</v>
      </c>
      <c r="I40" s="1">
        <f>Table1__2[[#This Row],[Housing]]+Table1__2[[#This Row],[Household goods and services]]</f>
        <v>223.89999999999998</v>
      </c>
      <c r="J40">
        <v>113.6</v>
      </c>
    </row>
    <row r="41" spans="1:10">
      <c r="A41" t="s">
        <v>30</v>
      </c>
      <c r="B41">
        <v>2014</v>
      </c>
      <c r="C41" t="s">
        <v>35</v>
      </c>
      <c r="D41">
        <v>1482.2</v>
      </c>
      <c r="E41">
        <v>113.2</v>
      </c>
      <c r="F41">
        <v>110.8</v>
      </c>
      <c r="G41">
        <v>789.80000000000007</v>
      </c>
      <c r="H41">
        <v>225.10000000000002</v>
      </c>
      <c r="I41" s="1">
        <f>Table1__2[[#This Row],[Housing]]+Table1__2[[#This Row],[Household goods and services]]</f>
        <v>252.16</v>
      </c>
      <c r="J41">
        <v>114</v>
      </c>
    </row>
    <row r="42" spans="1:10">
      <c r="A42" t="s">
        <v>33</v>
      </c>
      <c r="B42">
        <v>2014</v>
      </c>
      <c r="C42" t="s">
        <v>35</v>
      </c>
      <c r="D42">
        <v>1476</v>
      </c>
      <c r="E42">
        <v>111.1</v>
      </c>
      <c r="F42">
        <v>111.3</v>
      </c>
      <c r="G42">
        <v>782.7</v>
      </c>
      <c r="H42">
        <v>227.2</v>
      </c>
      <c r="I42" s="1">
        <f>Table1__2[[#This Row],[Housing]]+Table1__2[[#This Row],[Household goods and services]]</f>
        <v>225.1</v>
      </c>
      <c r="J42">
        <v>113.1</v>
      </c>
    </row>
    <row r="43" spans="1:10">
      <c r="A43" t="s">
        <v>34</v>
      </c>
      <c r="B43">
        <v>2014</v>
      </c>
      <c r="C43" t="s">
        <v>35</v>
      </c>
      <c r="D43">
        <v>1480.1</v>
      </c>
      <c r="E43">
        <v>112.4</v>
      </c>
      <c r="F43">
        <v>111.1</v>
      </c>
      <c r="G43">
        <v>786.9</v>
      </c>
      <c r="H43">
        <v>225.60000000000002</v>
      </c>
      <c r="I43" s="1">
        <f>Table1__2[[#This Row],[Housing]]+Table1__2[[#This Row],[Household goods and services]]</f>
        <v>225.3</v>
      </c>
      <c r="J43">
        <v>113.6</v>
      </c>
    </row>
    <row r="44" spans="1:10">
      <c r="A44" t="s">
        <v>30</v>
      </c>
      <c r="B44">
        <v>2014</v>
      </c>
      <c r="C44" t="s">
        <v>36</v>
      </c>
      <c r="D44">
        <v>1491.4</v>
      </c>
      <c r="E44">
        <v>113.4</v>
      </c>
      <c r="F44">
        <v>111.2</v>
      </c>
      <c r="G44">
        <v>792.5</v>
      </c>
      <c r="H44">
        <v>225.89999999999998</v>
      </c>
      <c r="I44" s="1">
        <f>Table1__2[[#This Row],[Housing]]+Table1__2[[#This Row],[Household goods and services]]</f>
        <v>252.66</v>
      </c>
      <c r="J44">
        <v>114.6</v>
      </c>
    </row>
    <row r="45" spans="1:10">
      <c r="A45" t="s">
        <v>33</v>
      </c>
      <c r="B45">
        <v>2014</v>
      </c>
      <c r="C45" t="s">
        <v>36</v>
      </c>
      <c r="D45">
        <v>1483</v>
      </c>
      <c r="E45">
        <v>110.9</v>
      </c>
      <c r="F45">
        <v>111.6</v>
      </c>
      <c r="G45">
        <v>785.8</v>
      </c>
      <c r="H45">
        <v>228.10000000000002</v>
      </c>
      <c r="I45" s="1">
        <f>Table1__2[[#This Row],[Housing]]+Table1__2[[#This Row],[Household goods and services]]</f>
        <v>226.2</v>
      </c>
      <c r="J45">
        <v>113.7</v>
      </c>
    </row>
    <row r="46" spans="1:10">
      <c r="A46" t="s">
        <v>34</v>
      </c>
      <c r="B46">
        <v>2014</v>
      </c>
      <c r="C46" t="s">
        <v>47</v>
      </c>
      <c r="D46">
        <v>1488.2999999999997</v>
      </c>
      <c r="E46">
        <v>112.5</v>
      </c>
      <c r="F46">
        <v>111.4</v>
      </c>
      <c r="G46">
        <v>789.7</v>
      </c>
      <c r="H46">
        <v>226.5</v>
      </c>
      <c r="I46" s="1">
        <f>Table1__2[[#This Row],[Housing]]+Table1__2[[#This Row],[Household goods and services]]</f>
        <v>226.4</v>
      </c>
      <c r="J46">
        <v>114.2</v>
      </c>
    </row>
    <row r="47" spans="1:10">
      <c r="A47" t="s">
        <v>30</v>
      </c>
      <c r="B47">
        <v>2014</v>
      </c>
      <c r="C47" t="s">
        <v>37</v>
      </c>
      <c r="D47">
        <v>1504.1000000000001</v>
      </c>
      <c r="E47">
        <v>113.4</v>
      </c>
      <c r="F47">
        <v>111.2</v>
      </c>
      <c r="G47">
        <v>796.2</v>
      </c>
      <c r="H47">
        <v>226.9</v>
      </c>
      <c r="I47" s="1">
        <f>Table1__2[[#This Row],[Housing]]+Table1__2[[#This Row],[Household goods and services]]</f>
        <v>252.95999999999998</v>
      </c>
      <c r="J47">
        <v>115.4</v>
      </c>
    </row>
    <row r="48" spans="1:10">
      <c r="A48" t="s">
        <v>33</v>
      </c>
      <c r="B48">
        <v>2014</v>
      </c>
      <c r="C48" t="s">
        <v>37</v>
      </c>
      <c r="D48">
        <v>1504.0000000000002</v>
      </c>
      <c r="E48">
        <v>110.9</v>
      </c>
      <c r="F48">
        <v>111.2</v>
      </c>
      <c r="G48">
        <v>788.3</v>
      </c>
      <c r="H48">
        <v>229</v>
      </c>
      <c r="I48" s="1">
        <f>Table1__2[[#This Row],[Housing]]+Table1__2[[#This Row],[Household goods and services]]</f>
        <v>227.3</v>
      </c>
      <c r="J48">
        <v>114.7</v>
      </c>
    </row>
    <row r="49" spans="1:10">
      <c r="A49" t="s">
        <v>34</v>
      </c>
      <c r="B49">
        <v>2014</v>
      </c>
      <c r="C49" t="s">
        <v>37</v>
      </c>
      <c r="D49">
        <v>1504.1</v>
      </c>
      <c r="E49">
        <v>112.5</v>
      </c>
      <c r="F49">
        <v>111.2</v>
      </c>
      <c r="G49">
        <v>793.1</v>
      </c>
      <c r="H49">
        <v>227.5</v>
      </c>
      <c r="I49" s="1">
        <f>Table1__2[[#This Row],[Housing]]+Table1__2[[#This Row],[Household goods and services]]</f>
        <v>227.5</v>
      </c>
      <c r="J49">
        <v>115.1</v>
      </c>
    </row>
    <row r="50" spans="1:10">
      <c r="A50" t="s">
        <v>30</v>
      </c>
      <c r="B50">
        <v>2014</v>
      </c>
      <c r="C50" t="s">
        <v>38</v>
      </c>
      <c r="D50">
        <v>1513.8999999999999</v>
      </c>
      <c r="E50">
        <v>113.4</v>
      </c>
      <c r="F50">
        <v>111.4</v>
      </c>
      <c r="G50">
        <v>799</v>
      </c>
      <c r="H50">
        <v>228.1</v>
      </c>
      <c r="I50" s="1">
        <f>Table1__2[[#This Row],[Housing]]+Table1__2[[#This Row],[Household goods and services]]</f>
        <v>253.35999999999999</v>
      </c>
      <c r="J50">
        <v>116</v>
      </c>
    </row>
    <row r="51" spans="1:10">
      <c r="A51" t="s">
        <v>33</v>
      </c>
      <c r="B51">
        <v>2014</v>
      </c>
      <c r="C51" t="s">
        <v>38</v>
      </c>
      <c r="D51">
        <v>1525.3000000000002</v>
      </c>
      <c r="E51">
        <v>111.1</v>
      </c>
      <c r="F51">
        <v>111.3</v>
      </c>
      <c r="G51">
        <v>790.8</v>
      </c>
      <c r="H51">
        <v>230</v>
      </c>
      <c r="I51" s="1">
        <f>Table1__2[[#This Row],[Housing]]+Table1__2[[#This Row],[Household goods and services]]</f>
        <v>228.39999999999998</v>
      </c>
      <c r="J51">
        <v>115.6</v>
      </c>
    </row>
    <row r="52" spans="1:10">
      <c r="A52" t="s">
        <v>34</v>
      </c>
      <c r="B52">
        <v>2014</v>
      </c>
      <c r="C52" t="s">
        <v>38</v>
      </c>
      <c r="D52">
        <v>1518.5000000000005</v>
      </c>
      <c r="E52">
        <v>112.5</v>
      </c>
      <c r="F52">
        <v>111.3</v>
      </c>
      <c r="G52">
        <v>795.90000000000009</v>
      </c>
      <c r="H52">
        <v>228.6</v>
      </c>
      <c r="I52" s="1">
        <f>Table1__2[[#This Row],[Housing]]+Table1__2[[#This Row],[Household goods and services]]</f>
        <v>228.39999999999998</v>
      </c>
      <c r="J52">
        <v>115.8</v>
      </c>
    </row>
    <row r="53" spans="1:10">
      <c r="A53" t="s">
        <v>30</v>
      </c>
      <c r="B53">
        <v>2014</v>
      </c>
      <c r="C53" t="s">
        <v>39</v>
      </c>
      <c r="D53">
        <v>1525.6999999999998</v>
      </c>
      <c r="E53">
        <v>114.4</v>
      </c>
      <c r="F53">
        <v>112.2</v>
      </c>
      <c r="G53">
        <v>802.8</v>
      </c>
      <c r="H53">
        <v>229.6</v>
      </c>
      <c r="I53" s="1">
        <f>Table1__2[[#This Row],[Housing]]+Table1__2[[#This Row],[Household goods and services]]</f>
        <v>254.16</v>
      </c>
      <c r="J53">
        <v>117</v>
      </c>
    </row>
    <row r="54" spans="1:10">
      <c r="A54" t="s">
        <v>33</v>
      </c>
      <c r="B54">
        <v>2014</v>
      </c>
      <c r="C54" t="s">
        <v>39</v>
      </c>
      <c r="D54">
        <v>1547</v>
      </c>
      <c r="E54">
        <v>111.2</v>
      </c>
      <c r="F54">
        <v>111.5</v>
      </c>
      <c r="G54">
        <v>794.30000000000007</v>
      </c>
      <c r="H54">
        <v>231.2</v>
      </c>
      <c r="I54" s="1">
        <f>Table1__2[[#This Row],[Housing]]+Table1__2[[#This Row],[Household goods and services]]</f>
        <v>228.2</v>
      </c>
      <c r="J54">
        <v>116.4</v>
      </c>
    </row>
    <row r="55" spans="1:10">
      <c r="A55" t="s">
        <v>34</v>
      </c>
      <c r="B55">
        <v>2014</v>
      </c>
      <c r="C55" t="s">
        <v>39</v>
      </c>
      <c r="D55">
        <v>1533.7000000000003</v>
      </c>
      <c r="E55">
        <v>113.2</v>
      </c>
      <c r="F55">
        <v>111.8</v>
      </c>
      <c r="G55">
        <v>799.69999999999993</v>
      </c>
      <c r="H55">
        <v>230.1</v>
      </c>
      <c r="I55" s="1">
        <f>Table1__2[[#This Row],[Housing]]+Table1__2[[#This Row],[Household goods and services]]</f>
        <v>228.5</v>
      </c>
      <c r="J55">
        <v>116.7</v>
      </c>
    </row>
    <row r="56" spans="1:10">
      <c r="A56" t="s">
        <v>30</v>
      </c>
      <c r="B56">
        <v>2014</v>
      </c>
      <c r="C56" t="s">
        <v>40</v>
      </c>
      <c r="D56">
        <v>1563.2</v>
      </c>
      <c r="E56">
        <v>115.3</v>
      </c>
      <c r="F56">
        <v>113.2</v>
      </c>
      <c r="G56">
        <v>808.8</v>
      </c>
      <c r="H56">
        <v>231.1</v>
      </c>
      <c r="I56" s="1">
        <f>Table1__2[[#This Row],[Housing]]+Table1__2[[#This Row],[Household goods and services]]</f>
        <v>254.66</v>
      </c>
      <c r="J56">
        <v>119.5</v>
      </c>
    </row>
    <row r="57" spans="1:10">
      <c r="A57" t="s">
        <v>33</v>
      </c>
      <c r="B57">
        <v>2014</v>
      </c>
      <c r="C57" t="s">
        <v>40</v>
      </c>
      <c r="D57">
        <v>1599.5</v>
      </c>
      <c r="E57">
        <v>111.6</v>
      </c>
      <c r="F57">
        <v>113</v>
      </c>
      <c r="G57">
        <v>800.4</v>
      </c>
      <c r="H57">
        <v>234.5</v>
      </c>
      <c r="I57" s="1">
        <f>Table1__2[[#This Row],[Housing]]+Table1__2[[#This Row],[Household goods and services]]</f>
        <v>229.7</v>
      </c>
      <c r="J57">
        <v>118.9</v>
      </c>
    </row>
    <row r="58" spans="1:10">
      <c r="A58" t="s">
        <v>34</v>
      </c>
      <c r="B58">
        <v>2014</v>
      </c>
      <c r="C58" t="s">
        <v>40</v>
      </c>
      <c r="D58">
        <v>1576.3</v>
      </c>
      <c r="E58">
        <v>113.9</v>
      </c>
      <c r="F58">
        <v>113.1</v>
      </c>
      <c r="G58">
        <v>805.79999999999984</v>
      </c>
      <c r="H58">
        <v>232.1</v>
      </c>
      <c r="I58" s="1">
        <f>Table1__2[[#This Row],[Housing]]+Table1__2[[#This Row],[Household goods and services]]</f>
        <v>230</v>
      </c>
      <c r="J58">
        <v>119.2</v>
      </c>
    </row>
    <row r="59" spans="1:10">
      <c r="A59" t="s">
        <v>30</v>
      </c>
      <c r="B59">
        <v>2014</v>
      </c>
      <c r="C59" t="s">
        <v>41</v>
      </c>
      <c r="D59">
        <v>1582.2999999999997</v>
      </c>
      <c r="E59">
        <v>115.4</v>
      </c>
      <c r="F59">
        <v>113.2</v>
      </c>
      <c r="G59">
        <v>812.2</v>
      </c>
      <c r="H59">
        <v>232.3</v>
      </c>
      <c r="I59" s="1">
        <f>Table1__2[[#This Row],[Housing]]+Table1__2[[#This Row],[Household goods and services]]</f>
        <v>255.16</v>
      </c>
      <c r="J59">
        <v>120.7</v>
      </c>
    </row>
    <row r="60" spans="1:10">
      <c r="A60" t="s">
        <v>33</v>
      </c>
      <c r="B60">
        <v>2014</v>
      </c>
      <c r="C60" t="s">
        <v>41</v>
      </c>
      <c r="D60">
        <v>1617</v>
      </c>
      <c r="E60">
        <v>111.8</v>
      </c>
      <c r="F60">
        <v>112.5</v>
      </c>
      <c r="G60">
        <v>805.40000000000009</v>
      </c>
      <c r="H60">
        <v>236.9</v>
      </c>
      <c r="I60" s="1">
        <f>Table1__2[[#This Row],[Housing]]+Table1__2[[#This Row],[Household goods and services]]</f>
        <v>230.8</v>
      </c>
      <c r="J60">
        <v>119.9</v>
      </c>
    </row>
    <row r="61" spans="1:10">
      <c r="A61" t="s">
        <v>34</v>
      </c>
      <c r="B61">
        <v>2014</v>
      </c>
      <c r="C61" t="s">
        <v>41</v>
      </c>
      <c r="D61">
        <v>1594.4999999999998</v>
      </c>
      <c r="E61">
        <v>114</v>
      </c>
      <c r="F61">
        <v>112.8</v>
      </c>
      <c r="G61">
        <v>810.2</v>
      </c>
      <c r="H61">
        <v>233.60000000000002</v>
      </c>
      <c r="I61" s="1">
        <f>Table1__2[[#This Row],[Housing]]+Table1__2[[#This Row],[Household goods and services]]</f>
        <v>231.1</v>
      </c>
      <c r="J61">
        <v>120.3</v>
      </c>
    </row>
    <row r="62" spans="1:10">
      <c r="A62" t="s">
        <v>30</v>
      </c>
      <c r="B62">
        <v>2014</v>
      </c>
      <c r="C62" t="s">
        <v>42</v>
      </c>
      <c r="D62">
        <v>1583.2</v>
      </c>
      <c r="E62">
        <v>115.8</v>
      </c>
      <c r="F62">
        <v>112.8</v>
      </c>
      <c r="G62">
        <v>815.00000000000011</v>
      </c>
      <c r="H62">
        <v>233.2</v>
      </c>
      <c r="I62" s="1">
        <f>Table1__2[[#This Row],[Housing]]+Table1__2[[#This Row],[Household goods and services]]</f>
        <v>255.95999999999998</v>
      </c>
      <c r="J62">
        <v>120.9</v>
      </c>
    </row>
    <row r="63" spans="1:10">
      <c r="A63" t="s">
        <v>33</v>
      </c>
      <c r="B63">
        <v>2014</v>
      </c>
      <c r="C63" t="s">
        <v>42</v>
      </c>
      <c r="D63">
        <v>1593.7000000000003</v>
      </c>
      <c r="E63">
        <v>111.8</v>
      </c>
      <c r="F63">
        <v>111.2</v>
      </c>
      <c r="G63">
        <v>807.80000000000007</v>
      </c>
      <c r="H63">
        <v>237.89999999999998</v>
      </c>
      <c r="I63" s="1">
        <f>Table1__2[[#This Row],[Housing]]+Table1__2[[#This Row],[Household goods and services]]</f>
        <v>231.6</v>
      </c>
      <c r="J63">
        <v>119.2</v>
      </c>
    </row>
    <row r="64" spans="1:10">
      <c r="A64" t="s">
        <v>34</v>
      </c>
      <c r="B64">
        <v>2014</v>
      </c>
      <c r="C64" t="s">
        <v>42</v>
      </c>
      <c r="D64">
        <v>1586.0999999999997</v>
      </c>
      <c r="E64">
        <v>114.3</v>
      </c>
      <c r="F64">
        <v>112</v>
      </c>
      <c r="G64">
        <v>812.90000000000009</v>
      </c>
      <c r="H64">
        <v>234.5</v>
      </c>
      <c r="I64" s="1">
        <f>Table1__2[[#This Row],[Housing]]+Table1__2[[#This Row],[Household goods and services]]</f>
        <v>232.2</v>
      </c>
      <c r="J64">
        <v>120.1</v>
      </c>
    </row>
    <row r="65" spans="1:10">
      <c r="A65" t="s">
        <v>30</v>
      </c>
      <c r="B65">
        <v>2014</v>
      </c>
      <c r="C65" t="s">
        <v>43</v>
      </c>
      <c r="D65">
        <v>1581.1999999999998</v>
      </c>
      <c r="E65">
        <v>116.4</v>
      </c>
      <c r="F65">
        <v>112.6</v>
      </c>
      <c r="G65">
        <v>819.8</v>
      </c>
      <c r="H65">
        <v>234</v>
      </c>
      <c r="I65" s="1">
        <f>Table1__2[[#This Row],[Housing]]+Table1__2[[#This Row],[Household goods and services]]</f>
        <v>256.76</v>
      </c>
      <c r="J65">
        <v>121</v>
      </c>
    </row>
    <row r="66" spans="1:10">
      <c r="A66" t="s">
        <v>33</v>
      </c>
      <c r="B66">
        <v>2014</v>
      </c>
      <c r="C66" t="s">
        <v>43</v>
      </c>
      <c r="D66">
        <v>1587.5</v>
      </c>
      <c r="E66">
        <v>112</v>
      </c>
      <c r="F66">
        <v>111</v>
      </c>
      <c r="G66">
        <v>809.90000000000009</v>
      </c>
      <c r="H66">
        <v>238</v>
      </c>
      <c r="I66" s="1">
        <f>Table1__2[[#This Row],[Housing]]+Table1__2[[#This Row],[Household goods and services]]</f>
        <v>232.5</v>
      </c>
      <c r="J66">
        <v>119.1</v>
      </c>
    </row>
    <row r="67" spans="1:10">
      <c r="A67" t="s">
        <v>34</v>
      </c>
      <c r="B67">
        <v>2014</v>
      </c>
      <c r="C67" t="s">
        <v>43</v>
      </c>
      <c r="D67">
        <v>1582.7</v>
      </c>
      <c r="E67">
        <v>114.7</v>
      </c>
      <c r="F67">
        <v>111.8</v>
      </c>
      <c r="G67">
        <v>816.6</v>
      </c>
      <c r="H67">
        <v>235</v>
      </c>
      <c r="I67" s="1">
        <f>Table1__2[[#This Row],[Housing]]+Table1__2[[#This Row],[Household goods and services]]</f>
        <v>233.4</v>
      </c>
      <c r="J67">
        <v>120.1</v>
      </c>
    </row>
    <row r="68" spans="1:10">
      <c r="A68" t="s">
        <v>30</v>
      </c>
      <c r="B68">
        <v>2014</v>
      </c>
      <c r="C68" t="s">
        <v>45</v>
      </c>
      <c r="D68">
        <v>1582</v>
      </c>
      <c r="E68">
        <v>117.3</v>
      </c>
      <c r="F68">
        <v>112</v>
      </c>
      <c r="G68">
        <v>821.9</v>
      </c>
      <c r="H68">
        <v>234.89999999999998</v>
      </c>
      <c r="I68" s="1">
        <f>Table1__2[[#This Row],[Housing]]+Table1__2[[#This Row],[Household goods and services]]</f>
        <v>257.36</v>
      </c>
      <c r="J68">
        <v>121.1</v>
      </c>
    </row>
    <row r="69" spans="1:10">
      <c r="A69" t="s">
        <v>33</v>
      </c>
      <c r="B69">
        <v>2014</v>
      </c>
      <c r="C69" t="s">
        <v>45</v>
      </c>
      <c r="D69">
        <v>1587.8</v>
      </c>
      <c r="E69">
        <v>112.6</v>
      </c>
      <c r="F69">
        <v>109.7</v>
      </c>
      <c r="G69">
        <v>812.09999999999991</v>
      </c>
      <c r="H69">
        <v>239.2</v>
      </c>
      <c r="I69" s="1">
        <f>Table1__2[[#This Row],[Housing]]+Table1__2[[#This Row],[Household goods and services]]</f>
        <v>233.5</v>
      </c>
      <c r="J69">
        <v>119</v>
      </c>
    </row>
    <row r="70" spans="1:10">
      <c r="A70" t="s">
        <v>34</v>
      </c>
      <c r="B70">
        <v>2014</v>
      </c>
      <c r="C70" t="s">
        <v>45</v>
      </c>
      <c r="D70">
        <v>1583.2</v>
      </c>
      <c r="E70">
        <v>115.5</v>
      </c>
      <c r="F70">
        <v>110.8</v>
      </c>
      <c r="G70">
        <v>818.69999999999993</v>
      </c>
      <c r="H70">
        <v>235.89999999999998</v>
      </c>
      <c r="I70" s="1">
        <f>Table1__2[[#This Row],[Housing]]+Table1__2[[#This Row],[Household goods and services]]</f>
        <v>234.39999999999998</v>
      </c>
      <c r="J70">
        <v>120.1</v>
      </c>
    </row>
    <row r="71" spans="1:10">
      <c r="A71" t="s">
        <v>30</v>
      </c>
      <c r="B71">
        <v>2014</v>
      </c>
      <c r="C71" t="s">
        <v>46</v>
      </c>
      <c r="D71">
        <v>1569.6</v>
      </c>
      <c r="E71">
        <v>117.4</v>
      </c>
      <c r="F71">
        <v>111.5</v>
      </c>
      <c r="G71">
        <v>824.30000000000007</v>
      </c>
      <c r="H71">
        <v>235.9</v>
      </c>
      <c r="I71" s="1">
        <f>Table1__2[[#This Row],[Housing]]+Table1__2[[#This Row],[Household goods and services]]</f>
        <v>257.45999999999998</v>
      </c>
      <c r="J71">
        <v>120.3</v>
      </c>
    </row>
    <row r="72" spans="1:10">
      <c r="A72" t="s">
        <v>33</v>
      </c>
      <c r="B72">
        <v>2014</v>
      </c>
      <c r="C72" t="s">
        <v>46</v>
      </c>
      <c r="D72">
        <v>1577.1999999999998</v>
      </c>
      <c r="E72">
        <v>113</v>
      </c>
      <c r="F72">
        <v>108.8</v>
      </c>
      <c r="G72">
        <v>815.1</v>
      </c>
      <c r="H72">
        <v>239.8</v>
      </c>
      <c r="I72" s="1">
        <f>Table1__2[[#This Row],[Housing]]+Table1__2[[#This Row],[Household goods and services]]</f>
        <v>233.3</v>
      </c>
      <c r="J72">
        <v>118.4</v>
      </c>
    </row>
    <row r="73" spans="1:10">
      <c r="A73" t="s">
        <v>34</v>
      </c>
      <c r="B73">
        <v>2014</v>
      </c>
      <c r="C73" t="s">
        <v>46</v>
      </c>
      <c r="D73">
        <v>1571.6999999999998</v>
      </c>
      <c r="E73">
        <v>115.7</v>
      </c>
      <c r="F73">
        <v>110.1</v>
      </c>
      <c r="G73">
        <v>821.5</v>
      </c>
      <c r="H73">
        <v>236.8</v>
      </c>
      <c r="I73" s="1">
        <f>Table1__2[[#This Row],[Housing]]+Table1__2[[#This Row],[Household goods and services]]</f>
        <v>234</v>
      </c>
      <c r="J73">
        <v>119.4</v>
      </c>
    </row>
    <row r="74" spans="1:10">
      <c r="A74" t="s">
        <v>30</v>
      </c>
      <c r="B74">
        <v>2015</v>
      </c>
      <c r="C74" t="s">
        <v>31</v>
      </c>
      <c r="D74">
        <v>1568.1</v>
      </c>
      <c r="E74">
        <v>118.4</v>
      </c>
      <c r="F74">
        <v>111</v>
      </c>
      <c r="G74">
        <v>829</v>
      </c>
      <c r="H74">
        <v>237.2</v>
      </c>
      <c r="I74" s="1">
        <f>Table1__2[[#This Row],[Housing]]+Table1__2[[#This Row],[Household goods and services]]</f>
        <v>258.15999999999997</v>
      </c>
      <c r="J74">
        <v>120.3</v>
      </c>
    </row>
    <row r="75" spans="1:10">
      <c r="A75" t="s">
        <v>33</v>
      </c>
      <c r="B75">
        <v>2015</v>
      </c>
      <c r="C75" t="s">
        <v>31</v>
      </c>
      <c r="D75">
        <v>1574.8999999999999</v>
      </c>
      <c r="E75">
        <v>113.4</v>
      </c>
      <c r="F75">
        <v>107.9</v>
      </c>
      <c r="G75">
        <v>817.8</v>
      </c>
      <c r="H75">
        <v>240.8</v>
      </c>
      <c r="I75" s="1">
        <f>Table1__2[[#This Row],[Housing]]+Table1__2[[#This Row],[Household goods and services]]</f>
        <v>234.5</v>
      </c>
      <c r="J75">
        <v>118.5</v>
      </c>
    </row>
    <row r="76" spans="1:10">
      <c r="A76" t="s">
        <v>34</v>
      </c>
      <c r="B76">
        <v>2015</v>
      </c>
      <c r="C76" t="s">
        <v>31</v>
      </c>
      <c r="D76">
        <v>1569.3</v>
      </c>
      <c r="E76">
        <v>116.5</v>
      </c>
      <c r="F76">
        <v>109.4</v>
      </c>
      <c r="G76">
        <v>825.1</v>
      </c>
      <c r="H76">
        <v>238</v>
      </c>
      <c r="I76" s="1">
        <f>Table1__2[[#This Row],[Housing]]+Table1__2[[#This Row],[Household goods and services]]</f>
        <v>235.39999999999998</v>
      </c>
      <c r="J76">
        <v>119.5</v>
      </c>
    </row>
    <row r="77" spans="1:10">
      <c r="A77" t="s">
        <v>30</v>
      </c>
      <c r="B77">
        <v>2015</v>
      </c>
      <c r="C77" t="s">
        <v>35</v>
      </c>
      <c r="D77">
        <v>1570.5999999999997</v>
      </c>
      <c r="E77">
        <v>120</v>
      </c>
      <c r="F77">
        <v>110.9</v>
      </c>
      <c r="G77">
        <v>835.10000000000014</v>
      </c>
      <c r="H77">
        <v>239.2</v>
      </c>
      <c r="I77" s="1">
        <f>Table1__2[[#This Row],[Housing]]+Table1__2[[#This Row],[Household goods and services]]</f>
        <v>258.86</v>
      </c>
      <c r="J77">
        <v>120.6</v>
      </c>
    </row>
    <row r="78" spans="1:10">
      <c r="A78" t="s">
        <v>33</v>
      </c>
      <c r="B78">
        <v>2015</v>
      </c>
      <c r="C78" t="s">
        <v>35</v>
      </c>
      <c r="D78">
        <v>1571.1000000000001</v>
      </c>
      <c r="E78">
        <v>114</v>
      </c>
      <c r="F78">
        <v>106.8</v>
      </c>
      <c r="G78">
        <v>819.5</v>
      </c>
      <c r="H78">
        <v>241.3</v>
      </c>
      <c r="I78" s="1">
        <f>Table1__2[[#This Row],[Housing]]+Table1__2[[#This Row],[Household goods and services]]</f>
        <v>235.8</v>
      </c>
      <c r="J78">
        <v>118.7</v>
      </c>
    </row>
    <row r="79" spans="1:10">
      <c r="A79" t="s">
        <v>34</v>
      </c>
      <c r="B79">
        <v>2015</v>
      </c>
      <c r="C79" t="s">
        <v>35</v>
      </c>
      <c r="D79">
        <v>1569.3999999999996</v>
      </c>
      <c r="E79">
        <v>117.7</v>
      </c>
      <c r="F79">
        <v>108.7</v>
      </c>
      <c r="G79">
        <v>829.30000000000007</v>
      </c>
      <c r="H79">
        <v>239.3</v>
      </c>
      <c r="I79" s="1">
        <f>Table1__2[[#This Row],[Housing]]+Table1__2[[#This Row],[Household goods and services]]</f>
        <v>236.8</v>
      </c>
      <c r="J79">
        <v>119.7</v>
      </c>
    </row>
    <row r="80" spans="1:10">
      <c r="A80" t="s">
        <v>30</v>
      </c>
      <c r="B80">
        <v>2015</v>
      </c>
      <c r="C80" t="s">
        <v>36</v>
      </c>
      <c r="D80">
        <v>1571.5</v>
      </c>
      <c r="E80">
        <v>120.6</v>
      </c>
      <c r="F80">
        <v>111.6</v>
      </c>
      <c r="G80">
        <v>838.3</v>
      </c>
      <c r="H80">
        <v>240.2</v>
      </c>
      <c r="I80" s="1">
        <f>Table1__2[[#This Row],[Housing]]+Table1__2[[#This Row],[Household goods and services]]</f>
        <v>259.45999999999998</v>
      </c>
      <c r="J80">
        <v>121.1</v>
      </c>
    </row>
    <row r="81" spans="1:10">
      <c r="A81" t="s">
        <v>33</v>
      </c>
      <c r="B81">
        <v>2015</v>
      </c>
      <c r="C81" t="s">
        <v>36</v>
      </c>
      <c r="D81">
        <v>1568.0000000000002</v>
      </c>
      <c r="E81">
        <v>114.4</v>
      </c>
      <c r="F81">
        <v>108.4</v>
      </c>
      <c r="G81">
        <v>821.1</v>
      </c>
      <c r="H81">
        <v>242.60000000000002</v>
      </c>
      <c r="I81" s="1">
        <f>Table1__2[[#This Row],[Housing]]+Table1__2[[#This Row],[Household goods and services]]</f>
        <v>236.6</v>
      </c>
      <c r="J81">
        <v>119.1</v>
      </c>
    </row>
    <row r="82" spans="1:10">
      <c r="A82" t="s">
        <v>34</v>
      </c>
      <c r="B82">
        <v>2015</v>
      </c>
      <c r="C82" t="s">
        <v>36</v>
      </c>
      <c r="D82">
        <v>1569.1</v>
      </c>
      <c r="E82">
        <v>118.3</v>
      </c>
      <c r="F82">
        <v>109.9</v>
      </c>
      <c r="G82">
        <v>831.6</v>
      </c>
      <c r="H82">
        <v>240.5</v>
      </c>
      <c r="I82" s="1">
        <f>Table1__2[[#This Row],[Housing]]+Table1__2[[#This Row],[Household goods and services]]</f>
        <v>237.8</v>
      </c>
      <c r="J82">
        <v>120.2</v>
      </c>
    </row>
    <row r="83" spans="1:10">
      <c r="A83" t="s">
        <v>30</v>
      </c>
      <c r="B83">
        <v>2015</v>
      </c>
      <c r="C83" t="s">
        <v>37</v>
      </c>
      <c r="D83">
        <v>1577.2</v>
      </c>
      <c r="E83">
        <v>121.2</v>
      </c>
      <c r="F83">
        <v>111.9</v>
      </c>
      <c r="G83">
        <v>841.99999999999989</v>
      </c>
      <c r="H83">
        <v>241.7</v>
      </c>
      <c r="I83" s="1">
        <f>Table1__2[[#This Row],[Housing]]+Table1__2[[#This Row],[Household goods and services]]</f>
        <v>260.15999999999997</v>
      </c>
      <c r="J83">
        <v>121.5</v>
      </c>
    </row>
    <row r="84" spans="1:10">
      <c r="A84" t="s">
        <v>33</v>
      </c>
      <c r="B84">
        <v>2015</v>
      </c>
      <c r="C84" t="s">
        <v>37</v>
      </c>
      <c r="D84">
        <v>1576.1</v>
      </c>
      <c r="E84">
        <v>114.7</v>
      </c>
      <c r="F84">
        <v>108.4</v>
      </c>
      <c r="G84">
        <v>824.30000000000007</v>
      </c>
      <c r="H84">
        <v>244.3</v>
      </c>
      <c r="I84" s="1">
        <f>Table1__2[[#This Row],[Housing]]+Table1__2[[#This Row],[Household goods and services]]</f>
        <v>237.60000000000002</v>
      </c>
      <c r="J84">
        <v>119.7</v>
      </c>
    </row>
    <row r="85" spans="1:10">
      <c r="A85" t="s">
        <v>34</v>
      </c>
      <c r="B85">
        <v>2015</v>
      </c>
      <c r="C85" t="s">
        <v>37</v>
      </c>
      <c r="D85">
        <v>1575.7</v>
      </c>
      <c r="E85">
        <v>118.7</v>
      </c>
      <c r="F85">
        <v>110.1</v>
      </c>
      <c r="G85">
        <v>835.30000000000007</v>
      </c>
      <c r="H85">
        <v>242</v>
      </c>
      <c r="I85" s="1">
        <f>Table1__2[[#This Row],[Housing]]+Table1__2[[#This Row],[Household goods and services]]</f>
        <v>238.9</v>
      </c>
      <c r="J85">
        <v>120.7</v>
      </c>
    </row>
    <row r="86" spans="1:10">
      <c r="A86" t="s">
        <v>30</v>
      </c>
      <c r="B86">
        <v>2015</v>
      </c>
      <c r="C86" t="s">
        <v>38</v>
      </c>
      <c r="D86">
        <v>1587.7</v>
      </c>
      <c r="E86">
        <v>121.9</v>
      </c>
      <c r="F86">
        <v>113.3</v>
      </c>
      <c r="G86">
        <v>847.1</v>
      </c>
      <c r="H86">
        <v>243.60000000000002</v>
      </c>
      <c r="I86" s="1">
        <f>Table1__2[[#This Row],[Housing]]+Table1__2[[#This Row],[Household goods and services]]</f>
        <v>260.76</v>
      </c>
      <c r="J86">
        <v>122.4</v>
      </c>
    </row>
    <row r="87" spans="1:10">
      <c r="A87" t="s">
        <v>33</v>
      </c>
      <c r="B87">
        <v>2015</v>
      </c>
      <c r="C87" t="s">
        <v>38</v>
      </c>
      <c r="D87">
        <v>1598.9</v>
      </c>
      <c r="E87">
        <v>114.9</v>
      </c>
      <c r="F87">
        <v>110.8</v>
      </c>
      <c r="G87">
        <v>826.69999999999993</v>
      </c>
      <c r="H87">
        <v>246.5</v>
      </c>
      <c r="I87" s="1">
        <f>Table1__2[[#This Row],[Housing]]+Table1__2[[#This Row],[Household goods and services]]</f>
        <v>238.3</v>
      </c>
      <c r="J87">
        <v>120.7</v>
      </c>
    </row>
    <row r="88" spans="1:10">
      <c r="A88" t="s">
        <v>34</v>
      </c>
      <c r="B88">
        <v>2015</v>
      </c>
      <c r="C88" t="s">
        <v>38</v>
      </c>
      <c r="D88">
        <v>1590.4</v>
      </c>
      <c r="E88">
        <v>119.2</v>
      </c>
      <c r="F88">
        <v>112</v>
      </c>
      <c r="G88">
        <v>839.09999999999991</v>
      </c>
      <c r="H88">
        <v>244</v>
      </c>
      <c r="I88" s="1">
        <f>Table1__2[[#This Row],[Housing]]+Table1__2[[#This Row],[Household goods and services]]</f>
        <v>239.8</v>
      </c>
      <c r="J88">
        <v>121.6</v>
      </c>
    </row>
    <row r="89" spans="1:10">
      <c r="A89" t="s">
        <v>30</v>
      </c>
      <c r="B89">
        <v>2015</v>
      </c>
      <c r="C89" t="s">
        <v>39</v>
      </c>
      <c r="D89">
        <v>1617.8999999999999</v>
      </c>
      <c r="E89">
        <v>122.6</v>
      </c>
      <c r="F89">
        <v>114.2</v>
      </c>
      <c r="G89">
        <v>854.8</v>
      </c>
      <c r="H89">
        <v>246.1</v>
      </c>
      <c r="I89" s="1">
        <f>Table1__2[[#This Row],[Housing]]+Table1__2[[#This Row],[Household goods and services]]</f>
        <v>262.06</v>
      </c>
      <c r="J89">
        <v>124.1</v>
      </c>
    </row>
    <row r="90" spans="1:10">
      <c r="A90" t="s">
        <v>33</v>
      </c>
      <c r="B90">
        <v>2015</v>
      </c>
      <c r="C90" t="s">
        <v>39</v>
      </c>
      <c r="D90">
        <v>1636.6</v>
      </c>
      <c r="E90">
        <v>115.1</v>
      </c>
      <c r="F90">
        <v>111.7</v>
      </c>
      <c r="G90">
        <v>831</v>
      </c>
      <c r="H90">
        <v>248.1</v>
      </c>
      <c r="I90" s="1">
        <f>Table1__2[[#This Row],[Housing]]+Table1__2[[#This Row],[Household goods and services]]</f>
        <v>238.2</v>
      </c>
      <c r="J90">
        <v>121.7</v>
      </c>
    </row>
    <row r="91" spans="1:10">
      <c r="A91" t="s">
        <v>34</v>
      </c>
      <c r="B91">
        <v>2015</v>
      </c>
      <c r="C91" t="s">
        <v>39</v>
      </c>
      <c r="D91">
        <v>1623.5</v>
      </c>
      <c r="E91">
        <v>119.8</v>
      </c>
      <c r="F91">
        <v>112.9</v>
      </c>
      <c r="G91">
        <v>845.4</v>
      </c>
      <c r="H91">
        <v>246.2</v>
      </c>
      <c r="I91" s="1">
        <f>Table1__2[[#This Row],[Housing]]+Table1__2[[#This Row],[Household goods and services]]</f>
        <v>240.1</v>
      </c>
      <c r="J91">
        <v>123</v>
      </c>
    </row>
    <row r="92" spans="1:10">
      <c r="A92" t="s">
        <v>30</v>
      </c>
      <c r="B92">
        <v>2015</v>
      </c>
      <c r="C92" t="s">
        <v>40</v>
      </c>
      <c r="D92">
        <v>1625.3</v>
      </c>
      <c r="E92">
        <v>123</v>
      </c>
      <c r="F92">
        <v>114.1</v>
      </c>
      <c r="G92">
        <v>857</v>
      </c>
      <c r="H92">
        <v>247.5</v>
      </c>
      <c r="I92" s="1">
        <f>Table1__2[[#This Row],[Housing]]+Table1__2[[#This Row],[Household goods and services]]</f>
        <v>262.26</v>
      </c>
      <c r="J92">
        <v>124.7</v>
      </c>
    </row>
    <row r="93" spans="1:10">
      <c r="A93" t="s">
        <v>33</v>
      </c>
      <c r="B93">
        <v>2015</v>
      </c>
      <c r="C93" t="s">
        <v>40</v>
      </c>
      <c r="D93">
        <v>1642.8999999999999</v>
      </c>
      <c r="E93">
        <v>115.3</v>
      </c>
      <c r="F93">
        <v>111.5</v>
      </c>
      <c r="G93">
        <v>833.8</v>
      </c>
      <c r="H93">
        <v>249.39999999999998</v>
      </c>
      <c r="I93" s="1">
        <f>Table1__2[[#This Row],[Housing]]+Table1__2[[#This Row],[Household goods and services]]</f>
        <v>239.4</v>
      </c>
      <c r="J93">
        <v>122.4</v>
      </c>
    </row>
    <row r="94" spans="1:10">
      <c r="A94" t="s">
        <v>34</v>
      </c>
      <c r="B94">
        <v>2015</v>
      </c>
      <c r="C94" t="s">
        <v>40</v>
      </c>
      <c r="D94">
        <v>1630.6000000000001</v>
      </c>
      <c r="E94">
        <v>120.1</v>
      </c>
      <c r="F94">
        <v>112.7</v>
      </c>
      <c r="G94">
        <v>848</v>
      </c>
      <c r="H94">
        <v>247.60000000000002</v>
      </c>
      <c r="I94" s="1">
        <f>Table1__2[[#This Row],[Housing]]+Table1__2[[#This Row],[Household goods and services]]</f>
        <v>241.2</v>
      </c>
      <c r="J94">
        <v>123.6</v>
      </c>
    </row>
    <row r="95" spans="1:10">
      <c r="A95" t="s">
        <v>30</v>
      </c>
      <c r="B95">
        <v>2015</v>
      </c>
      <c r="C95" t="s">
        <v>41</v>
      </c>
      <c r="D95">
        <v>1646.6</v>
      </c>
      <c r="E95">
        <v>123.8</v>
      </c>
      <c r="F95">
        <v>113.6</v>
      </c>
      <c r="G95">
        <v>860.5</v>
      </c>
      <c r="H95">
        <v>248.3</v>
      </c>
      <c r="I95" s="1">
        <f>Table1__2[[#This Row],[Housing]]+Table1__2[[#This Row],[Household goods and services]]</f>
        <v>262.95999999999998</v>
      </c>
      <c r="J95">
        <v>126.1</v>
      </c>
    </row>
    <row r="96" spans="1:10">
      <c r="A96" t="s">
        <v>33</v>
      </c>
      <c r="B96">
        <v>2015</v>
      </c>
      <c r="C96" t="s">
        <v>41</v>
      </c>
      <c r="D96">
        <v>1658.8999999999999</v>
      </c>
      <c r="E96">
        <v>115.3</v>
      </c>
      <c r="F96">
        <v>109.9</v>
      </c>
      <c r="G96">
        <v>836.80000000000018</v>
      </c>
      <c r="H96">
        <v>250.39999999999998</v>
      </c>
      <c r="I96" s="1">
        <f>Table1__2[[#This Row],[Housing]]+Table1__2[[#This Row],[Household goods and services]]</f>
        <v>240.9</v>
      </c>
      <c r="J96">
        <v>123.2</v>
      </c>
    </row>
    <row r="97" spans="1:10">
      <c r="A97" t="s">
        <v>34</v>
      </c>
      <c r="B97">
        <v>2015</v>
      </c>
      <c r="C97" t="s">
        <v>41</v>
      </c>
      <c r="D97">
        <v>1649.6</v>
      </c>
      <c r="E97">
        <v>120.6</v>
      </c>
      <c r="F97">
        <v>111.7</v>
      </c>
      <c r="G97">
        <v>851.30000000000007</v>
      </c>
      <c r="H97">
        <v>248.39999999999998</v>
      </c>
      <c r="I97" s="1">
        <f>Table1__2[[#This Row],[Housing]]+Table1__2[[#This Row],[Household goods and services]]</f>
        <v>242.9</v>
      </c>
      <c r="J97">
        <v>124.8</v>
      </c>
    </row>
    <row r="98" spans="1:10">
      <c r="A98" t="s">
        <v>30</v>
      </c>
      <c r="B98">
        <v>2015</v>
      </c>
      <c r="C98" t="s">
        <v>42</v>
      </c>
      <c r="D98">
        <v>1657.6000000000001</v>
      </c>
      <c r="E98">
        <v>123.7</v>
      </c>
      <c r="F98">
        <v>113.8</v>
      </c>
      <c r="G98">
        <v>866.3</v>
      </c>
      <c r="H98">
        <v>249.8</v>
      </c>
      <c r="I98" s="1">
        <f>Table1__2[[#This Row],[Housing]]+Table1__2[[#This Row],[Household goods and services]]</f>
        <v>263.76</v>
      </c>
      <c r="J98">
        <v>127</v>
      </c>
    </row>
    <row r="99" spans="1:10">
      <c r="A99" t="s">
        <v>33</v>
      </c>
      <c r="B99">
        <v>2015</v>
      </c>
      <c r="C99" t="s">
        <v>42</v>
      </c>
      <c r="D99">
        <v>1664.8</v>
      </c>
      <c r="E99">
        <v>115.1</v>
      </c>
      <c r="F99">
        <v>109.1</v>
      </c>
      <c r="G99">
        <v>839.6</v>
      </c>
      <c r="H99">
        <v>250.89999999999998</v>
      </c>
      <c r="I99" s="1">
        <f>Table1__2[[#This Row],[Housing]]+Table1__2[[#This Row],[Household goods and services]]</f>
        <v>242</v>
      </c>
      <c r="J99">
        <v>123.5</v>
      </c>
    </row>
    <row r="100" spans="1:10">
      <c r="A100" t="s">
        <v>34</v>
      </c>
      <c r="B100">
        <v>2015</v>
      </c>
      <c r="C100" t="s">
        <v>42</v>
      </c>
      <c r="D100">
        <v>1658.3000000000002</v>
      </c>
      <c r="E100">
        <v>120.4</v>
      </c>
      <c r="F100">
        <v>111.3</v>
      </c>
      <c r="G100">
        <v>855.7</v>
      </c>
      <c r="H100">
        <v>249.5</v>
      </c>
      <c r="I100" s="1">
        <f>Table1__2[[#This Row],[Housing]]+Table1__2[[#This Row],[Household goods and services]]</f>
        <v>244.2</v>
      </c>
      <c r="J100">
        <v>125.4</v>
      </c>
    </row>
    <row r="101" spans="1:10">
      <c r="A101" t="s">
        <v>30</v>
      </c>
      <c r="B101">
        <v>2015</v>
      </c>
      <c r="C101" t="s">
        <v>43</v>
      </c>
      <c r="D101">
        <v>1674.6</v>
      </c>
      <c r="E101">
        <v>124.4</v>
      </c>
      <c r="F101">
        <v>113.8</v>
      </c>
      <c r="G101">
        <v>870.4</v>
      </c>
      <c r="H101">
        <v>250.7</v>
      </c>
      <c r="I101" s="1">
        <f>Table1__2[[#This Row],[Housing]]+Table1__2[[#This Row],[Household goods and services]]</f>
        <v>264.36</v>
      </c>
      <c r="J101">
        <v>127.7</v>
      </c>
    </row>
    <row r="102" spans="1:10">
      <c r="A102" t="s">
        <v>33</v>
      </c>
      <c r="B102">
        <v>2015</v>
      </c>
      <c r="C102" t="s">
        <v>43</v>
      </c>
      <c r="D102">
        <v>1692.8000000000002</v>
      </c>
      <c r="E102">
        <v>114.9</v>
      </c>
      <c r="F102">
        <v>109.3</v>
      </c>
      <c r="G102">
        <v>842.19999999999993</v>
      </c>
      <c r="H102">
        <v>251.8</v>
      </c>
      <c r="I102" s="1">
        <f>Table1__2[[#This Row],[Housing]]+Table1__2[[#This Row],[Household goods and services]]</f>
        <v>243.10000000000002</v>
      </c>
      <c r="J102">
        <v>124.2</v>
      </c>
    </row>
    <row r="103" spans="1:10">
      <c r="A103" t="s">
        <v>34</v>
      </c>
      <c r="B103">
        <v>2015</v>
      </c>
      <c r="C103" t="s">
        <v>43</v>
      </c>
      <c r="D103">
        <v>1678.9999999999998</v>
      </c>
      <c r="E103">
        <v>120.8</v>
      </c>
      <c r="F103">
        <v>111.4</v>
      </c>
      <c r="G103">
        <v>859</v>
      </c>
      <c r="H103">
        <v>250.4</v>
      </c>
      <c r="I103" s="1">
        <f>Table1__2[[#This Row],[Housing]]+Table1__2[[#This Row],[Household goods and services]]</f>
        <v>245.4</v>
      </c>
      <c r="J103">
        <v>126.1</v>
      </c>
    </row>
    <row r="104" spans="1:10">
      <c r="A104" t="s">
        <v>30</v>
      </c>
      <c r="B104">
        <v>2015</v>
      </c>
      <c r="C104" t="s">
        <v>45</v>
      </c>
      <c r="D104">
        <v>1686.3</v>
      </c>
      <c r="E104">
        <v>125.6</v>
      </c>
      <c r="F104">
        <v>114</v>
      </c>
      <c r="G104">
        <v>875.3</v>
      </c>
      <c r="H104">
        <v>251.79999999999998</v>
      </c>
      <c r="I104" s="1">
        <f>Table1__2[[#This Row],[Housing]]+Table1__2[[#This Row],[Household goods and services]]</f>
        <v>264.86</v>
      </c>
      <c r="J104">
        <v>128.30000000000001</v>
      </c>
    </row>
    <row r="105" spans="1:10">
      <c r="A105" t="s">
        <v>33</v>
      </c>
      <c r="B105">
        <v>2015</v>
      </c>
      <c r="C105" t="s">
        <v>45</v>
      </c>
      <c r="D105">
        <v>1708.4999999999998</v>
      </c>
      <c r="E105">
        <v>115.1</v>
      </c>
      <c r="F105">
        <v>109.3</v>
      </c>
      <c r="G105">
        <v>844.4</v>
      </c>
      <c r="H105">
        <v>254.2</v>
      </c>
      <c r="I105" s="1">
        <f>Table1__2[[#This Row],[Housing]]+Table1__2[[#This Row],[Household goods and services]]</f>
        <v>243.9</v>
      </c>
      <c r="J105">
        <v>124.6</v>
      </c>
    </row>
    <row r="106" spans="1:10">
      <c r="A106" t="s">
        <v>34</v>
      </c>
      <c r="B106">
        <v>2015</v>
      </c>
      <c r="C106" t="s">
        <v>45</v>
      </c>
      <c r="D106">
        <v>1692.1</v>
      </c>
      <c r="E106">
        <v>121.6</v>
      </c>
      <c r="F106">
        <v>111.5</v>
      </c>
      <c r="G106">
        <v>862.59999999999991</v>
      </c>
      <c r="H106">
        <v>251.7</v>
      </c>
      <c r="I106" s="1">
        <f>Table1__2[[#This Row],[Housing]]+Table1__2[[#This Row],[Household goods and services]]</f>
        <v>246.3</v>
      </c>
      <c r="J106">
        <v>126.6</v>
      </c>
    </row>
    <row r="107" spans="1:10">
      <c r="A107" t="s">
        <v>30</v>
      </c>
      <c r="B107">
        <v>2015</v>
      </c>
      <c r="C107" t="s">
        <v>46</v>
      </c>
      <c r="D107">
        <v>1682.3000000000002</v>
      </c>
      <c r="E107">
        <v>125.7</v>
      </c>
      <c r="F107">
        <v>114</v>
      </c>
      <c r="G107">
        <v>877.30000000000007</v>
      </c>
      <c r="H107">
        <v>252.89999999999998</v>
      </c>
      <c r="I107" s="1">
        <f>Table1__2[[#This Row],[Housing]]+Table1__2[[#This Row],[Household goods and services]]</f>
        <v>265.26</v>
      </c>
      <c r="J107">
        <v>127.9</v>
      </c>
    </row>
    <row r="108" spans="1:10">
      <c r="A108" t="s">
        <v>33</v>
      </c>
      <c r="B108">
        <v>2015</v>
      </c>
      <c r="C108" t="s">
        <v>46</v>
      </c>
      <c r="D108">
        <v>1698.8</v>
      </c>
      <c r="E108">
        <v>116</v>
      </c>
      <c r="F108">
        <v>109.3</v>
      </c>
      <c r="G108">
        <v>845.9</v>
      </c>
      <c r="H108">
        <v>254.89999999999998</v>
      </c>
      <c r="I108" s="1">
        <f>Table1__2[[#This Row],[Housing]]+Table1__2[[#This Row],[Household goods and services]]</f>
        <v>243.4</v>
      </c>
      <c r="J108">
        <v>124</v>
      </c>
    </row>
    <row r="109" spans="1:10">
      <c r="A109" t="s">
        <v>34</v>
      </c>
      <c r="B109">
        <v>2015</v>
      </c>
      <c r="C109" t="s">
        <v>46</v>
      </c>
      <c r="D109">
        <v>1686.1000000000001</v>
      </c>
      <c r="E109">
        <v>122</v>
      </c>
      <c r="F109">
        <v>111.5</v>
      </c>
      <c r="G109">
        <v>864.40000000000009</v>
      </c>
      <c r="H109">
        <v>252.8</v>
      </c>
      <c r="I109" s="1">
        <f>Table1__2[[#This Row],[Housing]]+Table1__2[[#This Row],[Household goods and services]]</f>
        <v>246</v>
      </c>
      <c r="J109">
        <v>126.1</v>
      </c>
    </row>
    <row r="110" spans="1:10">
      <c r="A110" t="s">
        <v>30</v>
      </c>
      <c r="B110">
        <v>2016</v>
      </c>
      <c r="C110" t="s">
        <v>31</v>
      </c>
      <c r="D110">
        <v>1690.1000000000001</v>
      </c>
      <c r="E110">
        <v>126.2</v>
      </c>
      <c r="F110">
        <v>113.6</v>
      </c>
      <c r="G110">
        <v>880.9</v>
      </c>
      <c r="H110">
        <v>253.7</v>
      </c>
      <c r="I110" s="1">
        <f>Table1__2[[#This Row],[Housing]]+Table1__2[[#This Row],[Household goods and services]]</f>
        <v>265.86</v>
      </c>
      <c r="J110">
        <v>128.1</v>
      </c>
    </row>
    <row r="111" spans="1:10">
      <c r="A111" t="s">
        <v>33</v>
      </c>
      <c r="B111">
        <v>2016</v>
      </c>
      <c r="C111" t="s">
        <v>31</v>
      </c>
      <c r="D111">
        <v>1701.4</v>
      </c>
      <c r="E111">
        <v>116.9</v>
      </c>
      <c r="F111">
        <v>108.9</v>
      </c>
      <c r="G111">
        <v>848.49999999999989</v>
      </c>
      <c r="H111">
        <v>256.3</v>
      </c>
      <c r="I111" s="1">
        <f>Table1__2[[#This Row],[Housing]]+Table1__2[[#This Row],[Household goods and services]]</f>
        <v>245</v>
      </c>
      <c r="J111">
        <v>124.2</v>
      </c>
    </row>
    <row r="112" spans="1:10">
      <c r="A112" t="s">
        <v>34</v>
      </c>
      <c r="B112">
        <v>2016</v>
      </c>
      <c r="C112" t="s">
        <v>31</v>
      </c>
      <c r="D112">
        <v>1691.7</v>
      </c>
      <c r="E112">
        <v>122.7</v>
      </c>
      <c r="F112">
        <v>111.1</v>
      </c>
      <c r="G112">
        <v>867.5</v>
      </c>
      <c r="H112">
        <v>253.7</v>
      </c>
      <c r="I112" s="1">
        <f>Table1__2[[#This Row],[Housing]]+Table1__2[[#This Row],[Household goods and services]]</f>
        <v>247.60000000000002</v>
      </c>
      <c r="J112">
        <v>126.3</v>
      </c>
    </row>
    <row r="113" spans="1:10">
      <c r="A113" t="s">
        <v>30</v>
      </c>
      <c r="B113">
        <v>2016</v>
      </c>
      <c r="C113" t="s">
        <v>35</v>
      </c>
      <c r="D113">
        <v>1682.6</v>
      </c>
      <c r="E113">
        <v>127.5</v>
      </c>
      <c r="F113">
        <v>113.9</v>
      </c>
      <c r="G113">
        <v>887.6</v>
      </c>
      <c r="H113">
        <v>255.3</v>
      </c>
      <c r="I113" s="1">
        <f>Table1__2[[#This Row],[Housing]]+Table1__2[[#This Row],[Household goods and services]]</f>
        <v>266.36</v>
      </c>
      <c r="J113">
        <v>127.9</v>
      </c>
    </row>
    <row r="114" spans="1:10">
      <c r="A114" t="s">
        <v>33</v>
      </c>
      <c r="B114">
        <v>2016</v>
      </c>
      <c r="C114" t="s">
        <v>35</v>
      </c>
      <c r="D114">
        <v>1676.1</v>
      </c>
      <c r="E114">
        <v>116</v>
      </c>
      <c r="F114">
        <v>109.1</v>
      </c>
      <c r="G114">
        <v>852.4</v>
      </c>
      <c r="H114">
        <v>257.2</v>
      </c>
      <c r="I114" s="1">
        <f>Table1__2[[#This Row],[Housing]]+Table1__2[[#This Row],[Household goods and services]]</f>
        <v>246.2</v>
      </c>
      <c r="J114">
        <v>123.8</v>
      </c>
    </row>
    <row r="115" spans="1:10">
      <c r="A115" t="s">
        <v>34</v>
      </c>
      <c r="B115">
        <v>2016</v>
      </c>
      <c r="C115" t="s">
        <v>35</v>
      </c>
      <c r="D115">
        <v>1678.1</v>
      </c>
      <c r="E115">
        <v>123.1</v>
      </c>
      <c r="F115">
        <v>111.4</v>
      </c>
      <c r="G115">
        <v>872.9</v>
      </c>
      <c r="H115">
        <v>255</v>
      </c>
      <c r="I115" s="1">
        <f>Table1__2[[#This Row],[Housing]]+Table1__2[[#This Row],[Household goods and services]]</f>
        <v>249</v>
      </c>
      <c r="J115">
        <v>126</v>
      </c>
    </row>
    <row r="116" spans="1:10">
      <c r="A116" t="s">
        <v>30</v>
      </c>
      <c r="B116">
        <v>2016</v>
      </c>
      <c r="C116" t="s">
        <v>36</v>
      </c>
      <c r="D116">
        <v>1682.7000000000003</v>
      </c>
      <c r="E116">
        <v>127</v>
      </c>
      <c r="F116">
        <v>113.6</v>
      </c>
      <c r="G116">
        <v>890.60000000000014</v>
      </c>
      <c r="H116">
        <v>256.10000000000002</v>
      </c>
      <c r="I116" s="1">
        <f>Table1__2[[#This Row],[Housing]]+Table1__2[[#This Row],[Household goods and services]]</f>
        <v>266.95999999999998</v>
      </c>
      <c r="J116">
        <v>128</v>
      </c>
    </row>
    <row r="117" spans="1:10">
      <c r="A117" t="s">
        <v>33</v>
      </c>
      <c r="B117">
        <v>2016</v>
      </c>
      <c r="C117" t="s">
        <v>36</v>
      </c>
      <c r="D117">
        <v>1667.6000000000001</v>
      </c>
      <c r="E117">
        <v>114.8</v>
      </c>
      <c r="F117">
        <v>108.5</v>
      </c>
      <c r="G117">
        <v>854.49999999999989</v>
      </c>
      <c r="H117">
        <v>257.89999999999998</v>
      </c>
      <c r="I117" s="1">
        <f>Table1__2[[#This Row],[Housing]]+Table1__2[[#This Row],[Household goods and services]]</f>
        <v>247.2</v>
      </c>
      <c r="J117">
        <v>123.8</v>
      </c>
    </row>
    <row r="118" spans="1:10">
      <c r="A118" t="s">
        <v>34</v>
      </c>
      <c r="B118">
        <v>2016</v>
      </c>
      <c r="C118" t="s">
        <v>36</v>
      </c>
      <c r="D118">
        <v>1675.2</v>
      </c>
      <c r="E118">
        <v>122.4</v>
      </c>
      <c r="F118">
        <v>110.9</v>
      </c>
      <c r="G118">
        <v>875.59999999999991</v>
      </c>
      <c r="H118">
        <v>255.8</v>
      </c>
      <c r="I118" s="1">
        <f>Table1__2[[#This Row],[Housing]]+Table1__2[[#This Row],[Household goods and services]]</f>
        <v>250</v>
      </c>
      <c r="J118">
        <v>126</v>
      </c>
    </row>
    <row r="119" spans="1:10">
      <c r="A119" t="s">
        <v>30</v>
      </c>
      <c r="B119">
        <v>2016</v>
      </c>
      <c r="C119" t="s">
        <v>37</v>
      </c>
      <c r="D119">
        <v>1701.6000000000004</v>
      </c>
      <c r="E119">
        <v>127</v>
      </c>
      <c r="F119">
        <v>114.4</v>
      </c>
      <c r="G119">
        <v>894.7</v>
      </c>
      <c r="H119">
        <v>257.2</v>
      </c>
      <c r="I119" s="1">
        <f>Table1__2[[#This Row],[Housing]]+Table1__2[[#This Row],[Household goods and services]]</f>
        <v>267.26</v>
      </c>
      <c r="J119">
        <v>129</v>
      </c>
    </row>
    <row r="120" spans="1:10">
      <c r="A120" t="s">
        <v>33</v>
      </c>
      <c r="B120">
        <v>2016</v>
      </c>
      <c r="C120" t="s">
        <v>37</v>
      </c>
      <c r="D120">
        <v>1706.3</v>
      </c>
      <c r="E120">
        <v>114.6</v>
      </c>
      <c r="F120">
        <v>110</v>
      </c>
      <c r="G120">
        <v>857.8</v>
      </c>
      <c r="H120">
        <v>259.7</v>
      </c>
      <c r="I120" s="1">
        <f>Table1__2[[#This Row],[Housing]]+Table1__2[[#This Row],[Household goods and services]]</f>
        <v>248.39999999999998</v>
      </c>
      <c r="J120">
        <v>125.3</v>
      </c>
    </row>
    <row r="121" spans="1:10">
      <c r="A121" t="s">
        <v>34</v>
      </c>
      <c r="B121">
        <v>2016</v>
      </c>
      <c r="C121" t="s">
        <v>37</v>
      </c>
      <c r="D121">
        <v>1701.3</v>
      </c>
      <c r="E121">
        <v>122.3</v>
      </c>
      <c r="F121">
        <v>112.1</v>
      </c>
      <c r="G121">
        <v>879.30000000000007</v>
      </c>
      <c r="H121">
        <v>257.10000000000002</v>
      </c>
      <c r="I121" s="1">
        <f>Table1__2[[#This Row],[Housing]]+Table1__2[[#This Row],[Household goods and services]]</f>
        <v>251.1</v>
      </c>
      <c r="J121">
        <v>127.3</v>
      </c>
    </row>
    <row r="122" spans="1:10">
      <c r="A122" t="s">
        <v>30</v>
      </c>
      <c r="B122">
        <v>2016</v>
      </c>
      <c r="C122" t="s">
        <v>38</v>
      </c>
      <c r="D122">
        <v>1723.6999999999998</v>
      </c>
      <c r="E122">
        <v>127.4</v>
      </c>
      <c r="F122">
        <v>115.1</v>
      </c>
      <c r="G122">
        <v>899.50000000000011</v>
      </c>
      <c r="H122">
        <v>258.5</v>
      </c>
      <c r="I122" s="1">
        <f>Table1__2[[#This Row],[Housing]]+Table1__2[[#This Row],[Household goods and services]]</f>
        <v>267.76</v>
      </c>
      <c r="J122">
        <v>130.30000000000001</v>
      </c>
    </row>
    <row r="123" spans="1:10">
      <c r="A123" t="s">
        <v>33</v>
      </c>
      <c r="B123">
        <v>2016</v>
      </c>
      <c r="C123" t="s">
        <v>38</v>
      </c>
      <c r="D123">
        <v>1746.7999999999997</v>
      </c>
      <c r="E123">
        <v>115</v>
      </c>
      <c r="F123">
        <v>110.7</v>
      </c>
      <c r="G123">
        <v>860.7</v>
      </c>
      <c r="H123">
        <v>260.89999999999998</v>
      </c>
      <c r="I123" s="1">
        <f>Table1__2[[#This Row],[Housing]]+Table1__2[[#This Row],[Household goods and services]]</f>
        <v>249.2</v>
      </c>
      <c r="J123">
        <v>126.6</v>
      </c>
    </row>
    <row r="124" spans="1:10">
      <c r="A124" t="s">
        <v>34</v>
      </c>
      <c r="B124">
        <v>2016</v>
      </c>
      <c r="C124" t="s">
        <v>38</v>
      </c>
      <c r="D124">
        <v>1730.4</v>
      </c>
      <c r="E124">
        <v>122.7</v>
      </c>
      <c r="F124">
        <v>112.8</v>
      </c>
      <c r="G124">
        <v>883.3</v>
      </c>
      <c r="H124">
        <v>258.39999999999998</v>
      </c>
      <c r="I124" s="1">
        <f>Table1__2[[#This Row],[Housing]]+Table1__2[[#This Row],[Household goods and services]]</f>
        <v>252</v>
      </c>
      <c r="J124">
        <v>128.6</v>
      </c>
    </row>
    <row r="125" spans="1:10">
      <c r="A125" t="s">
        <v>30</v>
      </c>
      <c r="B125">
        <v>2016</v>
      </c>
      <c r="C125" t="s">
        <v>39</v>
      </c>
      <c r="D125">
        <v>1748.6</v>
      </c>
      <c r="E125">
        <v>128</v>
      </c>
      <c r="F125">
        <v>116.3</v>
      </c>
      <c r="G125">
        <v>903.90000000000009</v>
      </c>
      <c r="H125">
        <v>260.5</v>
      </c>
      <c r="I125" s="1">
        <f>Table1__2[[#This Row],[Housing]]+Table1__2[[#This Row],[Household goods and services]]</f>
        <v>268.56</v>
      </c>
      <c r="J125">
        <v>131.9</v>
      </c>
    </row>
    <row r="126" spans="1:10">
      <c r="A126" t="s">
        <v>33</v>
      </c>
      <c r="B126">
        <v>2016</v>
      </c>
      <c r="C126" t="s">
        <v>39</v>
      </c>
      <c r="D126">
        <v>1787.0000000000002</v>
      </c>
      <c r="E126">
        <v>115.5</v>
      </c>
      <c r="F126">
        <v>112.3</v>
      </c>
      <c r="G126">
        <v>863.90000000000009</v>
      </c>
      <c r="H126">
        <v>262.29999999999995</v>
      </c>
      <c r="I126" s="1">
        <f>Table1__2[[#This Row],[Housing]]+Table1__2[[#This Row],[Household goods and services]]</f>
        <v>248.7</v>
      </c>
      <c r="J126">
        <v>128.1</v>
      </c>
    </row>
    <row r="127" spans="1:10">
      <c r="A127" t="s">
        <v>34</v>
      </c>
      <c r="B127">
        <v>2016</v>
      </c>
      <c r="C127" t="s">
        <v>39</v>
      </c>
      <c r="D127">
        <v>1760.6</v>
      </c>
      <c r="E127">
        <v>123.3</v>
      </c>
      <c r="F127">
        <v>114.2</v>
      </c>
      <c r="G127">
        <v>887</v>
      </c>
      <c r="H127">
        <v>260.2</v>
      </c>
      <c r="I127" s="1">
        <f>Table1__2[[#This Row],[Housing]]+Table1__2[[#This Row],[Household goods and services]]</f>
        <v>251.9</v>
      </c>
      <c r="J127">
        <v>130.1</v>
      </c>
    </row>
    <row r="128" spans="1:10">
      <c r="A128" t="s">
        <v>30</v>
      </c>
      <c r="B128">
        <v>2016</v>
      </c>
      <c r="C128" t="s">
        <v>40</v>
      </c>
      <c r="D128">
        <v>1770.2999999999997</v>
      </c>
      <c r="E128">
        <v>128.19999999999999</v>
      </c>
      <c r="F128">
        <v>116.4</v>
      </c>
      <c r="G128">
        <v>909.5</v>
      </c>
      <c r="H128">
        <v>261.8</v>
      </c>
      <c r="I128" s="1">
        <f>Table1__2[[#This Row],[Housing]]+Table1__2[[#This Row],[Household goods and services]]</f>
        <v>269.26</v>
      </c>
      <c r="J128">
        <v>133</v>
      </c>
    </row>
    <row r="129" spans="1:10">
      <c r="A129" t="s">
        <v>33</v>
      </c>
      <c r="B129">
        <v>2016</v>
      </c>
      <c r="C129" t="s">
        <v>40</v>
      </c>
      <c r="D129">
        <v>1811.5000000000002</v>
      </c>
      <c r="E129">
        <v>115.5</v>
      </c>
      <c r="F129">
        <v>111.7</v>
      </c>
      <c r="G129">
        <v>867.90000000000009</v>
      </c>
      <c r="H129">
        <v>262.8</v>
      </c>
      <c r="I129" s="1">
        <f>Table1__2[[#This Row],[Housing]]+Table1__2[[#This Row],[Household goods and services]]</f>
        <v>249.9</v>
      </c>
      <c r="J129">
        <v>129</v>
      </c>
    </row>
    <row r="130" spans="1:10">
      <c r="A130" t="s">
        <v>34</v>
      </c>
      <c r="B130">
        <v>2016</v>
      </c>
      <c r="C130" t="s">
        <v>40</v>
      </c>
      <c r="D130">
        <v>1783.5</v>
      </c>
      <c r="E130">
        <v>123.4</v>
      </c>
      <c r="F130">
        <v>113.9</v>
      </c>
      <c r="G130">
        <v>892</v>
      </c>
      <c r="H130">
        <v>261.20000000000005</v>
      </c>
      <c r="I130" s="1">
        <f>Table1__2[[#This Row],[Housing]]+Table1__2[[#This Row],[Household goods and services]]</f>
        <v>253.3</v>
      </c>
      <c r="J130">
        <v>131.1</v>
      </c>
    </row>
    <row r="131" spans="1:10">
      <c r="A131" t="s">
        <v>30</v>
      </c>
      <c r="B131">
        <v>2016</v>
      </c>
      <c r="C131" t="s">
        <v>41</v>
      </c>
      <c r="D131">
        <v>1777.4999999999998</v>
      </c>
      <c r="E131">
        <v>129.1</v>
      </c>
      <c r="F131">
        <v>116</v>
      </c>
      <c r="G131">
        <v>914.30000000000007</v>
      </c>
      <c r="H131">
        <v>263.10000000000002</v>
      </c>
      <c r="I131" s="1">
        <f>Table1__2[[#This Row],[Housing]]+Table1__2[[#This Row],[Household goods and services]]</f>
        <v>269.86</v>
      </c>
      <c r="J131">
        <v>133.5</v>
      </c>
    </row>
    <row r="132" spans="1:10">
      <c r="A132" t="s">
        <v>33</v>
      </c>
      <c r="B132">
        <v>2016</v>
      </c>
      <c r="C132" t="s">
        <v>41</v>
      </c>
      <c r="D132">
        <v>1783.9999999999995</v>
      </c>
      <c r="E132">
        <v>114.7</v>
      </c>
      <c r="F132">
        <v>110.4</v>
      </c>
      <c r="G132">
        <v>871.19999999999993</v>
      </c>
      <c r="H132">
        <v>263.5</v>
      </c>
      <c r="I132" s="1">
        <f>Table1__2[[#This Row],[Housing]]+Table1__2[[#This Row],[Household goods and services]]</f>
        <v>251.2</v>
      </c>
      <c r="J132">
        <v>128.4</v>
      </c>
    </row>
    <row r="133" spans="1:10">
      <c r="A133" t="s">
        <v>34</v>
      </c>
      <c r="B133">
        <v>2016</v>
      </c>
      <c r="C133" t="s">
        <v>41</v>
      </c>
      <c r="D133">
        <v>1777.9</v>
      </c>
      <c r="E133">
        <v>123.6</v>
      </c>
      <c r="F133">
        <v>113.1</v>
      </c>
      <c r="G133">
        <v>896.2</v>
      </c>
      <c r="H133">
        <v>262.29999999999995</v>
      </c>
      <c r="I133" s="1">
        <f>Table1__2[[#This Row],[Housing]]+Table1__2[[#This Row],[Household goods and services]]</f>
        <v>254.7</v>
      </c>
      <c r="J133">
        <v>131.1</v>
      </c>
    </row>
    <row r="134" spans="1:10">
      <c r="A134" t="s">
        <v>30</v>
      </c>
      <c r="B134">
        <v>2016</v>
      </c>
      <c r="C134" t="s">
        <v>42</v>
      </c>
      <c r="D134">
        <v>1770.7</v>
      </c>
      <c r="E134">
        <v>129.69999999999999</v>
      </c>
      <c r="F134">
        <v>117</v>
      </c>
      <c r="G134">
        <v>918.3</v>
      </c>
      <c r="H134">
        <v>264.8</v>
      </c>
      <c r="I134" s="1">
        <f>Table1__2[[#This Row],[Housing]]+Table1__2[[#This Row],[Household goods and services]]</f>
        <v>270.36</v>
      </c>
      <c r="J134">
        <v>133.4</v>
      </c>
    </row>
    <row r="135" spans="1:10">
      <c r="A135" t="s">
        <v>33</v>
      </c>
      <c r="B135">
        <v>2016</v>
      </c>
      <c r="C135" t="s">
        <v>42</v>
      </c>
      <c r="D135">
        <v>1756.3999999999996</v>
      </c>
      <c r="E135">
        <v>114.8</v>
      </c>
      <c r="F135">
        <v>111.8</v>
      </c>
      <c r="G135">
        <v>873</v>
      </c>
      <c r="H135">
        <v>264.39999999999998</v>
      </c>
      <c r="I135" s="1">
        <f>Table1__2[[#This Row],[Housing]]+Table1__2[[#This Row],[Household goods and services]]</f>
        <v>252.2</v>
      </c>
      <c r="J135">
        <v>128</v>
      </c>
    </row>
    <row r="136" spans="1:10">
      <c r="A136" t="s">
        <v>34</v>
      </c>
      <c r="B136">
        <v>2016</v>
      </c>
      <c r="C136" t="s">
        <v>42</v>
      </c>
      <c r="D136">
        <v>1763.6999999999998</v>
      </c>
      <c r="E136">
        <v>124.1</v>
      </c>
      <c r="F136">
        <v>114.3</v>
      </c>
      <c r="G136">
        <v>899.2</v>
      </c>
      <c r="H136">
        <v>263.8</v>
      </c>
      <c r="I136" s="1">
        <f>Table1__2[[#This Row],[Housing]]+Table1__2[[#This Row],[Household goods and services]]</f>
        <v>255.8</v>
      </c>
      <c r="J136">
        <v>130.9</v>
      </c>
    </row>
    <row r="137" spans="1:10">
      <c r="A137" t="s">
        <v>30</v>
      </c>
      <c r="B137">
        <v>2016</v>
      </c>
      <c r="C137" t="s">
        <v>43</v>
      </c>
      <c r="D137">
        <v>1771.8000000000002</v>
      </c>
      <c r="E137">
        <v>129.80000000000001</v>
      </c>
      <c r="F137">
        <v>117.8</v>
      </c>
      <c r="G137">
        <v>923.90000000000009</v>
      </c>
      <c r="H137">
        <v>266.60000000000002</v>
      </c>
      <c r="I137" s="1">
        <f>Table1__2[[#This Row],[Housing]]+Table1__2[[#This Row],[Household goods and services]]</f>
        <v>271.06</v>
      </c>
      <c r="J137">
        <v>133.80000000000001</v>
      </c>
    </row>
    <row r="138" spans="1:10">
      <c r="A138" t="s">
        <v>33</v>
      </c>
      <c r="B138">
        <v>2016</v>
      </c>
      <c r="C138" t="s">
        <v>43</v>
      </c>
      <c r="D138">
        <v>1762.8999999999999</v>
      </c>
      <c r="E138">
        <v>115.2</v>
      </c>
      <c r="F138">
        <v>112.8</v>
      </c>
      <c r="G138">
        <v>874.69999999999993</v>
      </c>
      <c r="H138">
        <v>265.20000000000005</v>
      </c>
      <c r="I138" s="1">
        <f>Table1__2[[#This Row],[Housing]]+Table1__2[[#This Row],[Household goods and services]]</f>
        <v>253.2</v>
      </c>
      <c r="J138">
        <v>128.6</v>
      </c>
    </row>
    <row r="139" spans="1:10">
      <c r="A139" t="s">
        <v>34</v>
      </c>
      <c r="B139">
        <v>2016</v>
      </c>
      <c r="C139" t="s">
        <v>43</v>
      </c>
      <c r="D139">
        <v>1766.7999999999995</v>
      </c>
      <c r="E139">
        <v>124.3</v>
      </c>
      <c r="F139">
        <v>115.2</v>
      </c>
      <c r="G139">
        <v>903.2</v>
      </c>
      <c r="H139">
        <v>265.20000000000005</v>
      </c>
      <c r="I139" s="1">
        <f>Table1__2[[#This Row],[Housing]]+Table1__2[[#This Row],[Household goods and services]]</f>
        <v>257.10000000000002</v>
      </c>
      <c r="J139">
        <v>131.4</v>
      </c>
    </row>
    <row r="140" spans="1:10">
      <c r="A140" t="s">
        <v>30</v>
      </c>
      <c r="B140">
        <v>2016</v>
      </c>
      <c r="C140" t="s">
        <v>45</v>
      </c>
      <c r="D140">
        <v>1764.6</v>
      </c>
      <c r="E140">
        <v>130.30000000000001</v>
      </c>
      <c r="F140">
        <v>118.2</v>
      </c>
      <c r="G140">
        <v>926.8</v>
      </c>
      <c r="H140">
        <v>267.29999999999995</v>
      </c>
      <c r="I140" s="1">
        <f>Table1__2[[#This Row],[Housing]]+Table1__2[[#This Row],[Household goods and services]]</f>
        <v>271.36</v>
      </c>
      <c r="J140">
        <v>133.6</v>
      </c>
    </row>
    <row r="141" spans="1:10">
      <c r="A141" t="s">
        <v>33</v>
      </c>
      <c r="B141">
        <v>2016</v>
      </c>
      <c r="C141" t="s">
        <v>45</v>
      </c>
      <c r="D141">
        <v>1755.2</v>
      </c>
      <c r="E141">
        <v>116.2</v>
      </c>
      <c r="F141">
        <v>113.4</v>
      </c>
      <c r="G141">
        <v>877.40000000000009</v>
      </c>
      <c r="H141">
        <v>265.60000000000002</v>
      </c>
      <c r="I141" s="1">
        <f>Table1__2[[#This Row],[Housing]]+Table1__2[[#This Row],[Household goods and services]]</f>
        <v>253.8</v>
      </c>
      <c r="J141">
        <v>128.5</v>
      </c>
    </row>
    <row r="142" spans="1:10">
      <c r="A142" t="s">
        <v>34</v>
      </c>
      <c r="B142">
        <v>2016</v>
      </c>
      <c r="C142" t="s">
        <v>45</v>
      </c>
      <c r="D142">
        <v>1759.8</v>
      </c>
      <c r="E142">
        <v>125</v>
      </c>
      <c r="F142">
        <v>115.7</v>
      </c>
      <c r="G142">
        <v>905.89999999999986</v>
      </c>
      <c r="H142">
        <v>265.8</v>
      </c>
      <c r="I142" s="1">
        <f>Table1__2[[#This Row],[Housing]]+Table1__2[[#This Row],[Household goods and services]]</f>
        <v>257.7</v>
      </c>
      <c r="J142">
        <v>131.19999999999999</v>
      </c>
    </row>
    <row r="143" spans="1:10">
      <c r="A143" t="s">
        <v>30</v>
      </c>
      <c r="B143">
        <v>2016</v>
      </c>
      <c r="C143" t="s">
        <v>46</v>
      </c>
      <c r="D143">
        <v>1749.1</v>
      </c>
      <c r="E143">
        <v>132</v>
      </c>
      <c r="F143">
        <v>118.6</v>
      </c>
      <c r="G143">
        <v>928.39999999999986</v>
      </c>
      <c r="H143">
        <v>268.7</v>
      </c>
      <c r="I143" s="1">
        <f>Table1__2[[#This Row],[Housing]]+Table1__2[[#This Row],[Household goods and services]]</f>
        <v>272.15999999999997</v>
      </c>
      <c r="J143">
        <v>132.80000000000001</v>
      </c>
    </row>
    <row r="144" spans="1:10">
      <c r="A144" t="s">
        <v>33</v>
      </c>
      <c r="B144">
        <v>2016</v>
      </c>
      <c r="C144" t="s">
        <v>46</v>
      </c>
      <c r="D144">
        <v>1729.8</v>
      </c>
      <c r="E144">
        <v>117.8</v>
      </c>
      <c r="F144">
        <v>113.7</v>
      </c>
      <c r="G144">
        <v>877.3</v>
      </c>
      <c r="H144">
        <v>266.39999999999998</v>
      </c>
      <c r="I144" s="1">
        <f>Table1__2[[#This Row],[Housing]]+Table1__2[[#This Row],[Household goods and services]]</f>
        <v>253.5</v>
      </c>
      <c r="J144">
        <v>127.6</v>
      </c>
    </row>
    <row r="145" spans="1:10">
      <c r="A145" t="s">
        <v>34</v>
      </c>
      <c r="B145">
        <v>2016</v>
      </c>
      <c r="C145" t="s">
        <v>46</v>
      </c>
      <c r="D145">
        <v>1740.7</v>
      </c>
      <c r="E145">
        <v>126.6</v>
      </c>
      <c r="F145">
        <v>116</v>
      </c>
      <c r="G145">
        <v>906.80000000000007</v>
      </c>
      <c r="H145">
        <v>267</v>
      </c>
      <c r="I145" s="1">
        <f>Table1__2[[#This Row],[Housing]]+Table1__2[[#This Row],[Household goods and services]]</f>
        <v>257.7</v>
      </c>
      <c r="J145">
        <v>130.4</v>
      </c>
    </row>
    <row r="146" spans="1:10">
      <c r="A146" t="s">
        <v>30</v>
      </c>
      <c r="B146">
        <v>2017</v>
      </c>
      <c r="C146" t="s">
        <v>31</v>
      </c>
      <c r="D146">
        <v>1737.3000000000002</v>
      </c>
      <c r="E146">
        <v>132.1</v>
      </c>
      <c r="F146">
        <v>119.1</v>
      </c>
      <c r="G146">
        <v>930.30000000000007</v>
      </c>
      <c r="H146">
        <v>269.7</v>
      </c>
      <c r="I146" s="1">
        <f>Table1__2[[#This Row],[Housing]]+Table1__2[[#This Row],[Household goods and services]]</f>
        <v>272.45999999999998</v>
      </c>
      <c r="J146">
        <v>132.4</v>
      </c>
    </row>
    <row r="147" spans="1:10">
      <c r="A147" t="s">
        <v>33</v>
      </c>
      <c r="B147">
        <v>2017</v>
      </c>
      <c r="C147" t="s">
        <v>31</v>
      </c>
      <c r="D147">
        <v>1713.2</v>
      </c>
      <c r="E147">
        <v>118</v>
      </c>
      <c r="F147">
        <v>115.2</v>
      </c>
      <c r="G147">
        <v>879.4</v>
      </c>
      <c r="H147">
        <v>267.7</v>
      </c>
      <c r="I147" s="1">
        <f>Table1__2[[#This Row],[Housing]]+Table1__2[[#This Row],[Household goods and services]]</f>
        <v>254.7</v>
      </c>
      <c r="J147">
        <v>127.8</v>
      </c>
    </row>
    <row r="148" spans="1:10">
      <c r="A148" t="s">
        <v>34</v>
      </c>
      <c r="B148">
        <v>2017</v>
      </c>
      <c r="C148" t="s">
        <v>31</v>
      </c>
      <c r="D148">
        <v>1727.2999999999995</v>
      </c>
      <c r="E148">
        <v>126.8</v>
      </c>
      <c r="F148">
        <v>117</v>
      </c>
      <c r="G148">
        <v>908.7</v>
      </c>
      <c r="H148">
        <v>268.20000000000005</v>
      </c>
      <c r="I148" s="1">
        <f>Table1__2[[#This Row],[Housing]]+Table1__2[[#This Row],[Household goods and services]]</f>
        <v>259</v>
      </c>
      <c r="J148">
        <v>130.30000000000001</v>
      </c>
    </row>
    <row r="149" spans="1:10">
      <c r="A149" t="s">
        <v>30</v>
      </c>
      <c r="B149">
        <v>2017</v>
      </c>
      <c r="C149" t="s">
        <v>35</v>
      </c>
      <c r="D149">
        <v>1734.5000000000002</v>
      </c>
      <c r="E149">
        <v>133.19999999999999</v>
      </c>
      <c r="F149">
        <v>119.5</v>
      </c>
      <c r="G149">
        <v>932.80000000000007</v>
      </c>
      <c r="H149">
        <v>270.7</v>
      </c>
      <c r="I149" s="1">
        <f>Table1__2[[#This Row],[Housing]]+Table1__2[[#This Row],[Household goods and services]]</f>
        <v>272.86</v>
      </c>
      <c r="J149">
        <v>132.6</v>
      </c>
    </row>
    <row r="150" spans="1:10">
      <c r="A150" t="s">
        <v>33</v>
      </c>
      <c r="B150">
        <v>2017</v>
      </c>
      <c r="C150" t="s">
        <v>35</v>
      </c>
      <c r="D150">
        <v>1705.3000000000002</v>
      </c>
      <c r="E150">
        <v>119.2</v>
      </c>
      <c r="F150">
        <v>115.5</v>
      </c>
      <c r="G150">
        <v>881.5</v>
      </c>
      <c r="H150">
        <v>268.70000000000005</v>
      </c>
      <c r="I150" s="1">
        <f>Table1__2[[#This Row],[Housing]]+Table1__2[[#This Row],[Household goods and services]]</f>
        <v>255.8</v>
      </c>
      <c r="J150">
        <v>128.19999999999999</v>
      </c>
    </row>
    <row r="151" spans="1:10">
      <c r="A151" t="s">
        <v>34</v>
      </c>
      <c r="B151">
        <v>2017</v>
      </c>
      <c r="C151" t="s">
        <v>35</v>
      </c>
      <c r="D151">
        <v>1722.3000000000002</v>
      </c>
      <c r="E151">
        <v>127.9</v>
      </c>
      <c r="F151">
        <v>117.4</v>
      </c>
      <c r="G151">
        <v>910.99999999999989</v>
      </c>
      <c r="H151">
        <v>269.2</v>
      </c>
      <c r="I151" s="1">
        <f>Table1__2[[#This Row],[Housing]]+Table1__2[[#This Row],[Household goods and services]]</f>
        <v>260.2</v>
      </c>
      <c r="J151">
        <v>130.6</v>
      </c>
    </row>
    <row r="152" spans="1:10">
      <c r="A152" t="s">
        <v>30</v>
      </c>
      <c r="B152">
        <v>2017</v>
      </c>
      <c r="C152" t="s">
        <v>36</v>
      </c>
      <c r="D152">
        <v>1728.5000000000002</v>
      </c>
      <c r="E152">
        <v>134.19999999999999</v>
      </c>
      <c r="F152">
        <v>119.8</v>
      </c>
      <c r="G152">
        <v>936</v>
      </c>
      <c r="H152">
        <v>271.60000000000002</v>
      </c>
      <c r="I152" s="1">
        <f>Table1__2[[#This Row],[Housing]]+Table1__2[[#This Row],[Household goods and services]]</f>
        <v>273.36</v>
      </c>
      <c r="J152">
        <v>132.80000000000001</v>
      </c>
    </row>
    <row r="153" spans="1:10">
      <c r="A153" t="s">
        <v>33</v>
      </c>
      <c r="B153">
        <v>2017</v>
      </c>
      <c r="C153" t="s">
        <v>36</v>
      </c>
      <c r="D153">
        <v>1705.6999999999998</v>
      </c>
      <c r="E153">
        <v>120.8</v>
      </c>
      <c r="F153">
        <v>115.6</v>
      </c>
      <c r="G153">
        <v>883.2</v>
      </c>
      <c r="H153">
        <v>270.10000000000002</v>
      </c>
      <c r="I153" s="1">
        <f>Table1__2[[#This Row],[Housing]]+Table1__2[[#This Row],[Household goods and services]]</f>
        <v>256.7</v>
      </c>
      <c r="J153">
        <v>128.69999999999999</v>
      </c>
    </row>
    <row r="154" spans="1:10">
      <c r="A154" t="s">
        <v>34</v>
      </c>
      <c r="B154">
        <v>2017</v>
      </c>
      <c r="C154" t="s">
        <v>36</v>
      </c>
      <c r="D154">
        <v>1718.9</v>
      </c>
      <c r="E154">
        <v>129.1</v>
      </c>
      <c r="F154">
        <v>117.6</v>
      </c>
      <c r="G154">
        <v>913.5</v>
      </c>
      <c r="H154">
        <v>270.2</v>
      </c>
      <c r="I154" s="1">
        <f>Table1__2[[#This Row],[Housing]]+Table1__2[[#This Row],[Household goods and services]]</f>
        <v>261.2</v>
      </c>
      <c r="J154">
        <v>130.9</v>
      </c>
    </row>
    <row r="155" spans="1:10">
      <c r="A155" t="s">
        <v>30</v>
      </c>
      <c r="B155">
        <v>2017</v>
      </c>
      <c r="C155" t="s">
        <v>37</v>
      </c>
      <c r="D155">
        <v>1726.3</v>
      </c>
      <c r="E155">
        <v>135</v>
      </c>
      <c r="F155">
        <v>119.2</v>
      </c>
      <c r="G155">
        <v>939.5</v>
      </c>
      <c r="H155">
        <v>271.89999999999998</v>
      </c>
      <c r="I155" s="1">
        <f>Table1__2[[#This Row],[Housing]]+Table1__2[[#This Row],[Household goods and services]]</f>
        <v>273.56</v>
      </c>
      <c r="J155">
        <v>132.9</v>
      </c>
    </row>
    <row r="156" spans="1:10">
      <c r="A156" t="s">
        <v>33</v>
      </c>
      <c r="B156">
        <v>2017</v>
      </c>
      <c r="C156" t="s">
        <v>37</v>
      </c>
      <c r="D156">
        <v>1708.1</v>
      </c>
      <c r="E156">
        <v>121.4</v>
      </c>
      <c r="F156">
        <v>114.3</v>
      </c>
      <c r="G156">
        <v>886.00000000000011</v>
      </c>
      <c r="H156">
        <v>270.5</v>
      </c>
      <c r="I156" s="1">
        <f>Table1__2[[#This Row],[Housing]]+Table1__2[[#This Row],[Household goods and services]]</f>
        <v>257.7</v>
      </c>
      <c r="J156">
        <v>129.1</v>
      </c>
    </row>
    <row r="157" spans="1:10">
      <c r="A157" t="s">
        <v>34</v>
      </c>
      <c r="B157">
        <v>2017</v>
      </c>
      <c r="C157" t="s">
        <v>37</v>
      </c>
      <c r="D157">
        <v>1718.4</v>
      </c>
      <c r="E157">
        <v>129.80000000000001</v>
      </c>
      <c r="F157">
        <v>116.6</v>
      </c>
      <c r="G157">
        <v>916.9</v>
      </c>
      <c r="H157">
        <v>270.5</v>
      </c>
      <c r="I157" s="1">
        <f>Table1__2[[#This Row],[Housing]]+Table1__2[[#This Row],[Household goods and services]]</f>
        <v>262.10000000000002</v>
      </c>
      <c r="J157">
        <v>131.1</v>
      </c>
    </row>
    <row r="158" spans="1:10">
      <c r="A158" t="s">
        <v>30</v>
      </c>
      <c r="B158">
        <v>2017</v>
      </c>
      <c r="C158" t="s">
        <v>38</v>
      </c>
      <c r="D158">
        <v>1727.4999999999995</v>
      </c>
      <c r="E158">
        <v>135</v>
      </c>
      <c r="F158">
        <v>119.4</v>
      </c>
      <c r="G158">
        <v>942.40000000000009</v>
      </c>
      <c r="H158">
        <v>273.39999999999998</v>
      </c>
      <c r="I158" s="1">
        <f>Table1__2[[#This Row],[Housing]]+Table1__2[[#This Row],[Household goods and services]]</f>
        <v>274.15999999999997</v>
      </c>
      <c r="J158">
        <v>133.30000000000001</v>
      </c>
    </row>
    <row r="159" spans="1:10">
      <c r="A159" t="s">
        <v>33</v>
      </c>
      <c r="B159">
        <v>2017</v>
      </c>
      <c r="C159" t="s">
        <v>38</v>
      </c>
      <c r="D159">
        <v>1709.6</v>
      </c>
      <c r="E159">
        <v>120.1</v>
      </c>
      <c r="F159">
        <v>114.3</v>
      </c>
      <c r="G159">
        <v>887.10000000000014</v>
      </c>
      <c r="H159">
        <v>270.89999999999998</v>
      </c>
      <c r="I159" s="1">
        <f>Table1__2[[#This Row],[Housing]]+Table1__2[[#This Row],[Household goods and services]]</f>
        <v>258.60000000000002</v>
      </c>
      <c r="J159">
        <v>129.30000000000001</v>
      </c>
    </row>
    <row r="160" spans="1:10">
      <c r="A160" t="s">
        <v>34</v>
      </c>
      <c r="B160">
        <v>2017</v>
      </c>
      <c r="C160" t="s">
        <v>38</v>
      </c>
      <c r="D160">
        <v>1719.6000000000001</v>
      </c>
      <c r="E160">
        <v>129.4</v>
      </c>
      <c r="F160">
        <v>116.7</v>
      </c>
      <c r="G160">
        <v>918.7</v>
      </c>
      <c r="H160">
        <v>271.5</v>
      </c>
      <c r="I160" s="1">
        <f>Table1__2[[#This Row],[Housing]]+Table1__2[[#This Row],[Household goods and services]]</f>
        <v>263</v>
      </c>
      <c r="J160">
        <v>131.4</v>
      </c>
    </row>
    <row r="161" spans="1:10">
      <c r="A161" t="s">
        <v>30</v>
      </c>
      <c r="B161">
        <v>2017</v>
      </c>
      <c r="C161" t="s">
        <v>39</v>
      </c>
      <c r="D161">
        <v>1738.8000000000002</v>
      </c>
      <c r="E161">
        <v>134.80000000000001</v>
      </c>
      <c r="F161">
        <v>119.4</v>
      </c>
      <c r="G161">
        <v>945.19999999999993</v>
      </c>
      <c r="H161">
        <v>273.89999999999998</v>
      </c>
      <c r="I161" s="1">
        <f>Table1__2[[#This Row],[Housing]]+Table1__2[[#This Row],[Household goods and services]]</f>
        <v>274.45999999999998</v>
      </c>
      <c r="J161">
        <v>133.9</v>
      </c>
    </row>
    <row r="162" spans="1:10">
      <c r="A162" t="s">
        <v>33</v>
      </c>
      <c r="B162">
        <v>2017</v>
      </c>
      <c r="C162" t="s">
        <v>39</v>
      </c>
      <c r="D162">
        <v>1731.0000000000002</v>
      </c>
      <c r="E162">
        <v>119</v>
      </c>
      <c r="F162">
        <v>113.9</v>
      </c>
      <c r="G162">
        <v>888.40000000000009</v>
      </c>
      <c r="H162">
        <v>271.3</v>
      </c>
      <c r="I162" s="1">
        <f>Table1__2[[#This Row],[Housing]]+Table1__2[[#This Row],[Household goods and services]]</f>
        <v>258.2</v>
      </c>
      <c r="J162">
        <v>129.9</v>
      </c>
    </row>
    <row r="163" spans="1:10">
      <c r="A163" t="s">
        <v>34</v>
      </c>
      <c r="B163">
        <v>2017</v>
      </c>
      <c r="C163" t="s">
        <v>39</v>
      </c>
      <c r="D163">
        <v>1734.7</v>
      </c>
      <c r="E163">
        <v>128.80000000000001</v>
      </c>
      <c r="F163">
        <v>116.5</v>
      </c>
      <c r="G163">
        <v>920.9</v>
      </c>
      <c r="H163">
        <v>272</v>
      </c>
      <c r="I163" s="1">
        <f>Table1__2[[#This Row],[Housing]]+Table1__2[[#This Row],[Household goods and services]]</f>
        <v>262.60000000000002</v>
      </c>
      <c r="J163">
        <v>132</v>
      </c>
    </row>
    <row r="164" spans="1:10">
      <c r="A164" t="s">
        <v>30</v>
      </c>
      <c r="B164">
        <v>2017</v>
      </c>
      <c r="C164" t="s">
        <v>40</v>
      </c>
      <c r="D164">
        <v>1772.9</v>
      </c>
      <c r="E164">
        <v>135.30000000000001</v>
      </c>
      <c r="F164">
        <v>119.1</v>
      </c>
      <c r="G164">
        <v>951.60000000000014</v>
      </c>
      <c r="H164">
        <v>276</v>
      </c>
      <c r="I164" s="1">
        <f>Table1__2[[#This Row],[Housing]]+Table1__2[[#This Row],[Household goods and services]]</f>
        <v>275.36</v>
      </c>
      <c r="J164">
        <v>136.19999999999999</v>
      </c>
    </row>
    <row r="165" spans="1:10">
      <c r="A165" t="s">
        <v>33</v>
      </c>
      <c r="B165">
        <v>2017</v>
      </c>
      <c r="C165" t="s">
        <v>40</v>
      </c>
      <c r="D165">
        <v>1768.1</v>
      </c>
      <c r="E165">
        <v>119.7</v>
      </c>
      <c r="F165">
        <v>113.2</v>
      </c>
      <c r="G165">
        <v>892.1</v>
      </c>
      <c r="H165">
        <v>273.5</v>
      </c>
      <c r="I165" s="1">
        <f>Table1__2[[#This Row],[Housing]]+Table1__2[[#This Row],[Household goods and services]]</f>
        <v>259.8</v>
      </c>
      <c r="J165">
        <v>131.80000000000001</v>
      </c>
    </row>
    <row r="166" spans="1:10">
      <c r="A166" t="s">
        <v>34</v>
      </c>
      <c r="B166">
        <v>2017</v>
      </c>
      <c r="C166" t="s">
        <v>40</v>
      </c>
      <c r="D166">
        <v>1769.3999999999999</v>
      </c>
      <c r="E166">
        <v>129.4</v>
      </c>
      <c r="F166">
        <v>116</v>
      </c>
      <c r="G166">
        <v>926.10000000000014</v>
      </c>
      <c r="H166">
        <v>274.10000000000002</v>
      </c>
      <c r="I166" s="1">
        <f>Table1__2[[#This Row],[Housing]]+Table1__2[[#This Row],[Household goods and services]]</f>
        <v>264.5</v>
      </c>
      <c r="J166">
        <v>134.19999999999999</v>
      </c>
    </row>
    <row r="167" spans="1:10">
      <c r="A167" t="s">
        <v>30</v>
      </c>
      <c r="B167">
        <v>2017</v>
      </c>
      <c r="C167" t="s">
        <v>41</v>
      </c>
      <c r="D167">
        <v>1792.4999999999998</v>
      </c>
      <c r="E167">
        <v>136.4</v>
      </c>
      <c r="F167">
        <v>120.3</v>
      </c>
      <c r="G167">
        <v>959.10000000000014</v>
      </c>
      <c r="H167">
        <v>278.7</v>
      </c>
      <c r="I167" s="1">
        <f>Table1__2[[#This Row],[Housing]]+Table1__2[[#This Row],[Household goods and services]]</f>
        <v>276.56</v>
      </c>
      <c r="J167">
        <v>137.80000000000001</v>
      </c>
    </row>
    <row r="168" spans="1:10">
      <c r="A168" t="s">
        <v>33</v>
      </c>
      <c r="B168">
        <v>2017</v>
      </c>
      <c r="C168" t="s">
        <v>41</v>
      </c>
      <c r="D168">
        <v>1772.9999999999998</v>
      </c>
      <c r="E168">
        <v>118.9</v>
      </c>
      <c r="F168">
        <v>114.6</v>
      </c>
      <c r="G168">
        <v>897.19999999999982</v>
      </c>
      <c r="H168">
        <v>275.89999999999998</v>
      </c>
      <c r="I168" s="1">
        <f>Table1__2[[#This Row],[Housing]]+Table1__2[[#This Row],[Household goods and services]]</f>
        <v>262.10000000000002</v>
      </c>
      <c r="J168">
        <v>132.69999999999999</v>
      </c>
    </row>
    <row r="169" spans="1:10">
      <c r="A169" t="s">
        <v>34</v>
      </c>
      <c r="B169">
        <v>2017</v>
      </c>
      <c r="C169" t="s">
        <v>41</v>
      </c>
      <c r="D169">
        <v>1783.8</v>
      </c>
      <c r="E169">
        <v>129.80000000000001</v>
      </c>
      <c r="F169">
        <v>117.3</v>
      </c>
      <c r="G169">
        <v>932.19999999999993</v>
      </c>
      <c r="H169">
        <v>276.60000000000002</v>
      </c>
      <c r="I169" s="1">
        <f>Table1__2[[#This Row],[Housing]]+Table1__2[[#This Row],[Household goods and services]]</f>
        <v>267.20000000000005</v>
      </c>
      <c r="J169">
        <v>135.4</v>
      </c>
    </row>
    <row r="170" spans="1:10">
      <c r="A170" t="s">
        <v>30</v>
      </c>
      <c r="B170">
        <v>2017</v>
      </c>
      <c r="C170" t="s">
        <v>42</v>
      </c>
      <c r="D170">
        <v>1784.3</v>
      </c>
      <c r="E170">
        <v>137.4</v>
      </c>
      <c r="F170">
        <v>121.2</v>
      </c>
      <c r="G170">
        <v>963.00000000000011</v>
      </c>
      <c r="H170">
        <v>280.10000000000002</v>
      </c>
      <c r="I170" s="1">
        <f>Table1__2[[#This Row],[Housing]]+Table1__2[[#This Row],[Household goods and services]]</f>
        <v>277.15999999999997</v>
      </c>
      <c r="J170">
        <v>137.6</v>
      </c>
    </row>
    <row r="171" spans="1:10">
      <c r="A171" t="s">
        <v>33</v>
      </c>
      <c r="B171">
        <v>2017</v>
      </c>
      <c r="C171" t="s">
        <v>42</v>
      </c>
      <c r="D171">
        <v>1749.7</v>
      </c>
      <c r="E171">
        <v>120.6</v>
      </c>
      <c r="F171">
        <v>115.7</v>
      </c>
      <c r="G171">
        <v>900.8</v>
      </c>
      <c r="H171">
        <v>278.10000000000002</v>
      </c>
      <c r="I171" s="1">
        <f>Table1__2[[#This Row],[Housing]]+Table1__2[[#This Row],[Household goods and services]]</f>
        <v>263.79999999999995</v>
      </c>
      <c r="J171">
        <v>132.4</v>
      </c>
    </row>
    <row r="172" spans="1:10">
      <c r="A172" t="s">
        <v>34</v>
      </c>
      <c r="B172">
        <v>2017</v>
      </c>
      <c r="C172" t="s">
        <v>42</v>
      </c>
      <c r="D172">
        <v>1769.9999999999998</v>
      </c>
      <c r="E172">
        <v>131</v>
      </c>
      <c r="F172">
        <v>118.3</v>
      </c>
      <c r="G172">
        <v>936.1</v>
      </c>
      <c r="H172">
        <v>278.3</v>
      </c>
      <c r="I172" s="1">
        <f>Table1__2[[#This Row],[Housing]]+Table1__2[[#This Row],[Household goods and services]]</f>
        <v>269</v>
      </c>
      <c r="J172">
        <v>135.19999999999999</v>
      </c>
    </row>
    <row r="173" spans="1:10">
      <c r="A173" t="s">
        <v>30</v>
      </c>
      <c r="B173">
        <v>2017</v>
      </c>
      <c r="C173" t="s">
        <v>43</v>
      </c>
      <c r="D173">
        <v>1790.8999999999999</v>
      </c>
      <c r="E173">
        <v>138.1</v>
      </c>
      <c r="F173">
        <v>121</v>
      </c>
      <c r="G173">
        <v>968.7</v>
      </c>
      <c r="H173">
        <v>281.2</v>
      </c>
      <c r="I173" s="1">
        <f>Table1__2[[#This Row],[Housing]]+Table1__2[[#This Row],[Household goods and services]]</f>
        <v>277.65999999999997</v>
      </c>
      <c r="J173">
        <v>138.30000000000001</v>
      </c>
    </row>
    <row r="174" spans="1:10">
      <c r="A174" t="s">
        <v>33</v>
      </c>
      <c r="B174">
        <v>2017</v>
      </c>
      <c r="C174" t="s">
        <v>43</v>
      </c>
      <c r="D174">
        <v>1765.6999999999998</v>
      </c>
      <c r="E174">
        <v>122.6</v>
      </c>
      <c r="F174">
        <v>115</v>
      </c>
      <c r="G174">
        <v>903.8</v>
      </c>
      <c r="H174">
        <v>279.10000000000002</v>
      </c>
      <c r="I174" s="1">
        <f>Table1__2[[#This Row],[Housing]]+Table1__2[[#This Row],[Household goods and services]]</f>
        <v>265.60000000000002</v>
      </c>
      <c r="J174">
        <v>133.5</v>
      </c>
    </row>
    <row r="175" spans="1:10">
      <c r="A175" t="s">
        <v>34</v>
      </c>
      <c r="B175">
        <v>2017</v>
      </c>
      <c r="C175" t="s">
        <v>43</v>
      </c>
      <c r="D175">
        <v>1779.6999999999998</v>
      </c>
      <c r="E175">
        <v>132.19999999999999</v>
      </c>
      <c r="F175">
        <v>117.8</v>
      </c>
      <c r="G175">
        <v>940.7</v>
      </c>
      <c r="H175">
        <v>279.3</v>
      </c>
      <c r="I175" s="1">
        <f>Table1__2[[#This Row],[Housing]]+Table1__2[[#This Row],[Household goods and services]]</f>
        <v>270.89999999999998</v>
      </c>
      <c r="J175">
        <v>136.1</v>
      </c>
    </row>
    <row r="176" spans="1:10">
      <c r="A176" t="s">
        <v>30</v>
      </c>
      <c r="B176">
        <v>2017</v>
      </c>
      <c r="C176" t="s">
        <v>45</v>
      </c>
      <c r="D176">
        <v>1817.7000000000003</v>
      </c>
      <c r="E176">
        <v>141.1</v>
      </c>
      <c r="F176">
        <v>121.6</v>
      </c>
      <c r="G176">
        <v>976.09999999999991</v>
      </c>
      <c r="H176">
        <v>283.79999999999995</v>
      </c>
      <c r="I176" s="1">
        <f>Table1__2[[#This Row],[Housing]]+Table1__2[[#This Row],[Household goods and services]]</f>
        <v>278.65999999999997</v>
      </c>
      <c r="J176">
        <v>140</v>
      </c>
    </row>
    <row r="177" spans="1:10">
      <c r="A177" t="s">
        <v>33</v>
      </c>
      <c r="B177">
        <v>2017</v>
      </c>
      <c r="C177" t="s">
        <v>45</v>
      </c>
      <c r="D177">
        <v>1796.7</v>
      </c>
      <c r="E177">
        <v>125.7</v>
      </c>
      <c r="F177">
        <v>115.3</v>
      </c>
      <c r="G177">
        <v>907.9</v>
      </c>
      <c r="H177">
        <v>281.10000000000002</v>
      </c>
      <c r="I177" s="1">
        <f>Table1__2[[#This Row],[Housing]]+Table1__2[[#This Row],[Household goods and services]]</f>
        <v>267.39999999999998</v>
      </c>
      <c r="J177">
        <v>134.80000000000001</v>
      </c>
    </row>
    <row r="178" spans="1:10">
      <c r="A178" t="s">
        <v>34</v>
      </c>
      <c r="B178">
        <v>2017</v>
      </c>
      <c r="C178" t="s">
        <v>45</v>
      </c>
      <c r="D178">
        <v>1808.2</v>
      </c>
      <c r="E178">
        <v>135.30000000000001</v>
      </c>
      <c r="F178">
        <v>118.3</v>
      </c>
      <c r="G178">
        <v>946.50000000000011</v>
      </c>
      <c r="H178">
        <v>281.60000000000002</v>
      </c>
      <c r="I178" s="1">
        <f>Table1__2[[#This Row],[Housing]]+Table1__2[[#This Row],[Household goods and services]]</f>
        <v>273</v>
      </c>
      <c r="J178">
        <v>137.6</v>
      </c>
    </row>
    <row r="179" spans="1:10">
      <c r="A179" t="s">
        <v>30</v>
      </c>
      <c r="B179">
        <v>2017</v>
      </c>
      <c r="C179" t="s">
        <v>46</v>
      </c>
      <c r="D179">
        <v>1813.6000000000001</v>
      </c>
      <c r="E179">
        <v>142.6</v>
      </c>
      <c r="F179">
        <v>122</v>
      </c>
      <c r="G179">
        <v>975.5</v>
      </c>
      <c r="H179">
        <v>285.10000000000002</v>
      </c>
      <c r="I179" s="1">
        <f>Table1__2[[#This Row],[Housing]]+Table1__2[[#This Row],[Household goods and services]]</f>
        <v>278.76</v>
      </c>
      <c r="J179">
        <v>139.80000000000001</v>
      </c>
    </row>
    <row r="180" spans="1:10">
      <c r="A180" t="s">
        <v>33</v>
      </c>
      <c r="B180">
        <v>2017</v>
      </c>
      <c r="C180" t="s">
        <v>46</v>
      </c>
      <c r="D180">
        <v>1767.5</v>
      </c>
      <c r="E180">
        <v>126.8</v>
      </c>
      <c r="F180">
        <v>115.3</v>
      </c>
      <c r="G180">
        <v>910.3</v>
      </c>
      <c r="H180">
        <v>282.10000000000002</v>
      </c>
      <c r="I180" s="1">
        <f>Table1__2[[#This Row],[Housing]]+Table1__2[[#This Row],[Household goods and services]]</f>
        <v>268.39999999999998</v>
      </c>
      <c r="J180">
        <v>134.1</v>
      </c>
    </row>
    <row r="181" spans="1:10">
      <c r="A181" t="s">
        <v>34</v>
      </c>
      <c r="B181">
        <v>2017</v>
      </c>
      <c r="C181" t="s">
        <v>46</v>
      </c>
      <c r="D181">
        <v>1794.9999999999998</v>
      </c>
      <c r="E181">
        <v>136.6</v>
      </c>
      <c r="F181">
        <v>118.5</v>
      </c>
      <c r="G181">
        <v>947.30000000000007</v>
      </c>
      <c r="H181">
        <v>282.79999999999995</v>
      </c>
      <c r="I181" s="1">
        <f>Table1__2[[#This Row],[Housing]]+Table1__2[[#This Row],[Household goods and services]]</f>
        <v>273.79999999999995</v>
      </c>
      <c r="J181">
        <v>137.19999999999999</v>
      </c>
    </row>
    <row r="182" spans="1:10">
      <c r="A182" t="s">
        <v>30</v>
      </c>
      <c r="B182">
        <v>2018</v>
      </c>
      <c r="C182" t="s">
        <v>31</v>
      </c>
      <c r="D182">
        <v>1800.7</v>
      </c>
      <c r="E182">
        <v>142.30000000000001</v>
      </c>
      <c r="F182">
        <v>122.7</v>
      </c>
      <c r="G182">
        <v>978.6</v>
      </c>
      <c r="H182">
        <v>285.89999999999998</v>
      </c>
      <c r="I182" s="1">
        <f>Table1__2[[#This Row],[Housing]]+Table1__2[[#This Row],[Household goods and services]]</f>
        <v>279.06</v>
      </c>
      <c r="J182">
        <v>139.30000000000001</v>
      </c>
    </row>
    <row r="183" spans="1:10">
      <c r="A183" t="s">
        <v>33</v>
      </c>
      <c r="B183">
        <v>2018</v>
      </c>
      <c r="C183" t="s">
        <v>31</v>
      </c>
      <c r="D183">
        <v>1748.3000000000002</v>
      </c>
      <c r="E183">
        <v>127.3</v>
      </c>
      <c r="F183">
        <v>116.3</v>
      </c>
      <c r="G183">
        <v>914.1</v>
      </c>
      <c r="H183">
        <v>283.5</v>
      </c>
      <c r="I183" s="1">
        <f>Table1__2[[#This Row],[Housing]]+Table1__2[[#This Row],[Household goods and services]]</f>
        <v>269.89999999999998</v>
      </c>
      <c r="J183">
        <v>134.1</v>
      </c>
    </row>
    <row r="184" spans="1:10">
      <c r="A184" t="s">
        <v>34</v>
      </c>
      <c r="B184">
        <v>2018</v>
      </c>
      <c r="C184" t="s">
        <v>31</v>
      </c>
      <c r="D184">
        <v>1779.9</v>
      </c>
      <c r="E184">
        <v>136.6</v>
      </c>
      <c r="F184">
        <v>119.3</v>
      </c>
      <c r="G184">
        <v>950.6</v>
      </c>
      <c r="H184">
        <v>283.79999999999995</v>
      </c>
      <c r="I184" s="1">
        <f>Table1__2[[#This Row],[Housing]]+Table1__2[[#This Row],[Household goods and services]]</f>
        <v>275.3</v>
      </c>
      <c r="J184">
        <v>136.9</v>
      </c>
    </row>
    <row r="185" spans="1:10">
      <c r="A185" t="s">
        <v>30</v>
      </c>
      <c r="B185">
        <v>2018</v>
      </c>
      <c r="C185" t="s">
        <v>35</v>
      </c>
      <c r="D185">
        <v>1781.5</v>
      </c>
      <c r="E185">
        <v>142.4</v>
      </c>
      <c r="F185">
        <v>123.3</v>
      </c>
      <c r="G185">
        <v>979.69999999999993</v>
      </c>
      <c r="H185">
        <v>285.8</v>
      </c>
      <c r="I185" s="1">
        <f>Table1__2[[#This Row],[Housing]]+Table1__2[[#This Row],[Household goods and services]]</f>
        <v>279.15999999999997</v>
      </c>
      <c r="J185">
        <v>138.5</v>
      </c>
    </row>
    <row r="186" spans="1:10">
      <c r="A186" t="s">
        <v>33</v>
      </c>
      <c r="B186">
        <v>2018</v>
      </c>
      <c r="C186" t="s">
        <v>35</v>
      </c>
      <c r="D186">
        <v>1727.9</v>
      </c>
      <c r="E186">
        <v>127.3</v>
      </c>
      <c r="F186">
        <v>117.4</v>
      </c>
      <c r="G186">
        <v>916.8</v>
      </c>
      <c r="H186">
        <v>285.8</v>
      </c>
      <c r="I186" s="1">
        <f>Table1__2[[#This Row],[Housing]]+Table1__2[[#This Row],[Household goods and services]]</f>
        <v>271.20000000000005</v>
      </c>
      <c r="J186">
        <v>134</v>
      </c>
    </row>
    <row r="187" spans="1:10">
      <c r="A187" t="s">
        <v>34</v>
      </c>
      <c r="B187">
        <v>2018</v>
      </c>
      <c r="C187" t="s">
        <v>35</v>
      </c>
      <c r="D187">
        <v>1760.3999999999996</v>
      </c>
      <c r="E187">
        <v>136.69999999999999</v>
      </c>
      <c r="F187">
        <v>120.2</v>
      </c>
      <c r="G187">
        <v>952.4</v>
      </c>
      <c r="H187">
        <v>284.5</v>
      </c>
      <c r="I187" s="1">
        <f>Table1__2[[#This Row],[Housing]]+Table1__2[[#This Row],[Household goods and services]]</f>
        <v>276.5</v>
      </c>
      <c r="J187">
        <v>136.4</v>
      </c>
    </row>
    <row r="188" spans="1:10">
      <c r="A188" t="s">
        <v>30</v>
      </c>
      <c r="B188">
        <v>2018</v>
      </c>
      <c r="C188" t="s">
        <v>36</v>
      </c>
      <c r="D188">
        <v>1781.9999999999998</v>
      </c>
      <c r="E188">
        <v>142.6</v>
      </c>
      <c r="F188">
        <v>124.6</v>
      </c>
      <c r="G188">
        <v>984.3</v>
      </c>
      <c r="H188">
        <v>288.39999999999998</v>
      </c>
      <c r="I188" s="1">
        <f>Table1__2[[#This Row],[Housing]]+Table1__2[[#This Row],[Household goods and services]]</f>
        <v>279.15999999999997</v>
      </c>
      <c r="J188">
        <v>138.69999999999999</v>
      </c>
    </row>
    <row r="189" spans="1:10">
      <c r="A189" t="s">
        <v>33</v>
      </c>
      <c r="B189">
        <v>2018</v>
      </c>
      <c r="C189" t="s">
        <v>36</v>
      </c>
      <c r="D189">
        <v>1715.5</v>
      </c>
      <c r="E189">
        <v>126.4</v>
      </c>
      <c r="F189">
        <v>117.8</v>
      </c>
      <c r="G189">
        <v>920.40000000000009</v>
      </c>
      <c r="H189">
        <v>286.79999999999995</v>
      </c>
      <c r="I189" s="1">
        <f>Table1__2[[#This Row],[Housing]]+Table1__2[[#This Row],[Household goods and services]]</f>
        <v>272.8</v>
      </c>
      <c r="J189">
        <v>134</v>
      </c>
    </row>
    <row r="190" spans="1:10">
      <c r="A190" t="s">
        <v>34</v>
      </c>
      <c r="B190">
        <v>2018</v>
      </c>
      <c r="C190" t="s">
        <v>36</v>
      </c>
      <c r="D190">
        <v>1756</v>
      </c>
      <c r="E190">
        <v>136.5</v>
      </c>
      <c r="F190">
        <v>121</v>
      </c>
      <c r="G190">
        <v>956.3</v>
      </c>
      <c r="H190">
        <v>286.60000000000002</v>
      </c>
      <c r="I190" s="1">
        <f>Table1__2[[#This Row],[Housing]]+Table1__2[[#This Row],[Household goods and services]]</f>
        <v>277.60000000000002</v>
      </c>
      <c r="J190">
        <v>136.5</v>
      </c>
    </row>
    <row r="191" spans="1:10">
      <c r="A191" t="s">
        <v>30</v>
      </c>
      <c r="B191">
        <v>2018</v>
      </c>
      <c r="C191" t="s">
        <v>37</v>
      </c>
      <c r="D191">
        <v>1780</v>
      </c>
      <c r="E191">
        <v>143.80000000000001</v>
      </c>
      <c r="F191">
        <v>125.3</v>
      </c>
      <c r="G191">
        <v>990.2</v>
      </c>
      <c r="H191">
        <v>290.29999999999995</v>
      </c>
      <c r="I191" s="1">
        <f>Table1__2[[#This Row],[Housing]]+Table1__2[[#This Row],[Household goods and services]]</f>
        <v>280.15999999999997</v>
      </c>
      <c r="J191">
        <v>139.1</v>
      </c>
    </row>
    <row r="192" spans="1:10">
      <c r="A192" t="s">
        <v>33</v>
      </c>
      <c r="B192">
        <v>2018</v>
      </c>
      <c r="C192" t="s">
        <v>37</v>
      </c>
      <c r="D192">
        <v>1720.0000000000002</v>
      </c>
      <c r="E192">
        <v>124.6</v>
      </c>
      <c r="F192">
        <v>118.9</v>
      </c>
      <c r="G192">
        <v>927.59999999999991</v>
      </c>
      <c r="H192">
        <v>287.39999999999998</v>
      </c>
      <c r="I192" s="1">
        <f>Table1__2[[#This Row],[Housing]]+Table1__2[[#This Row],[Household goods and services]]</f>
        <v>274.70000000000005</v>
      </c>
      <c r="J192">
        <v>134.80000000000001</v>
      </c>
    </row>
    <row r="193" spans="1:10">
      <c r="A193" t="s">
        <v>34</v>
      </c>
      <c r="B193">
        <v>2018</v>
      </c>
      <c r="C193" t="s">
        <v>37</v>
      </c>
      <c r="D193">
        <v>1757.1000000000001</v>
      </c>
      <c r="E193">
        <v>136.5</v>
      </c>
      <c r="F193">
        <v>121.9</v>
      </c>
      <c r="G193">
        <v>963.1</v>
      </c>
      <c r="H193">
        <v>288.20000000000005</v>
      </c>
      <c r="I193" s="1">
        <f>Table1__2[[#This Row],[Housing]]+Table1__2[[#This Row],[Household goods and services]]</f>
        <v>279.5</v>
      </c>
      <c r="J193">
        <v>137.1</v>
      </c>
    </row>
    <row r="194" spans="1:10">
      <c r="A194" t="s">
        <v>30</v>
      </c>
      <c r="B194">
        <v>2018</v>
      </c>
      <c r="C194" t="s">
        <v>38</v>
      </c>
      <c r="D194">
        <v>1782.4</v>
      </c>
      <c r="E194">
        <v>144.30000000000001</v>
      </c>
      <c r="F194">
        <v>126.4</v>
      </c>
      <c r="G194">
        <v>995.5</v>
      </c>
      <c r="H194">
        <v>292.10000000000002</v>
      </c>
      <c r="I194" s="1">
        <f>Table1__2[[#This Row],[Housing]]+Table1__2[[#This Row],[Household goods and services]]</f>
        <v>281.06</v>
      </c>
      <c r="J194">
        <v>139.80000000000001</v>
      </c>
    </row>
    <row r="195" spans="1:10">
      <c r="A195" t="s">
        <v>33</v>
      </c>
      <c r="B195">
        <v>2018</v>
      </c>
      <c r="C195" t="s">
        <v>38</v>
      </c>
      <c r="D195">
        <v>1722.8999999999999</v>
      </c>
      <c r="E195">
        <v>124.7</v>
      </c>
      <c r="F195">
        <v>119.8</v>
      </c>
      <c r="G195">
        <v>932</v>
      </c>
      <c r="H195">
        <v>289.20000000000005</v>
      </c>
      <c r="I195" s="1">
        <f>Table1__2[[#This Row],[Housing]]+Table1__2[[#This Row],[Household goods and services]]</f>
        <v>275.7</v>
      </c>
      <c r="J195">
        <v>135.4</v>
      </c>
    </row>
    <row r="196" spans="1:10">
      <c r="A196" t="s">
        <v>34</v>
      </c>
      <c r="B196">
        <v>2018</v>
      </c>
      <c r="C196" t="s">
        <v>38</v>
      </c>
      <c r="D196">
        <v>1759.8</v>
      </c>
      <c r="E196">
        <v>136.9</v>
      </c>
      <c r="F196">
        <v>122.9</v>
      </c>
      <c r="G196">
        <v>967.90000000000009</v>
      </c>
      <c r="H196">
        <v>290</v>
      </c>
      <c r="I196" s="1">
        <f>Table1__2[[#This Row],[Housing]]+Table1__2[[#This Row],[Household goods and services]]</f>
        <v>280.60000000000002</v>
      </c>
      <c r="J196">
        <v>137.80000000000001</v>
      </c>
    </row>
    <row r="197" spans="1:10">
      <c r="A197" t="s">
        <v>30</v>
      </c>
      <c r="B197">
        <v>2018</v>
      </c>
      <c r="C197" t="s">
        <v>39</v>
      </c>
      <c r="D197">
        <v>1790.2999999999997</v>
      </c>
      <c r="E197">
        <v>145.1</v>
      </c>
      <c r="F197">
        <v>127.4</v>
      </c>
      <c r="G197">
        <v>999.00000000000011</v>
      </c>
      <c r="H197">
        <v>292.89999999999998</v>
      </c>
      <c r="I197" s="1">
        <f>Table1__2[[#This Row],[Housing]]+Table1__2[[#This Row],[Household goods and services]]</f>
        <v>281.45999999999998</v>
      </c>
      <c r="J197">
        <v>140.5</v>
      </c>
    </row>
    <row r="198" spans="1:10">
      <c r="A198" t="s">
        <v>33</v>
      </c>
      <c r="B198">
        <v>2018</v>
      </c>
      <c r="C198" t="s">
        <v>39</v>
      </c>
      <c r="D198">
        <v>1747.3000000000002</v>
      </c>
      <c r="E198">
        <v>126.5</v>
      </c>
      <c r="F198">
        <v>120.4</v>
      </c>
      <c r="G198">
        <v>935.5</v>
      </c>
      <c r="H198">
        <v>290.5</v>
      </c>
      <c r="I198" s="1">
        <f>Table1__2[[#This Row],[Housing]]+Table1__2[[#This Row],[Household goods and services]]</f>
        <v>275.60000000000002</v>
      </c>
      <c r="J198">
        <v>136.19999999999999</v>
      </c>
    </row>
    <row r="199" spans="1:10">
      <c r="A199" t="s">
        <v>34</v>
      </c>
      <c r="B199">
        <v>2018</v>
      </c>
      <c r="C199" t="s">
        <v>39</v>
      </c>
      <c r="D199">
        <v>1774.1000000000001</v>
      </c>
      <c r="E199">
        <v>138.1</v>
      </c>
      <c r="F199">
        <v>123.7</v>
      </c>
      <c r="G199">
        <v>971.39999999999986</v>
      </c>
      <c r="H199">
        <v>290.89999999999998</v>
      </c>
      <c r="I199" s="1">
        <f>Table1__2[[#This Row],[Housing]]+Table1__2[[#This Row],[Household goods and services]]</f>
        <v>280.39999999999998</v>
      </c>
      <c r="J199">
        <v>138.5</v>
      </c>
    </row>
    <row r="200" spans="1:10">
      <c r="A200" t="s">
        <v>30</v>
      </c>
      <c r="B200">
        <v>2018</v>
      </c>
      <c r="C200" t="s">
        <v>40</v>
      </c>
      <c r="D200">
        <v>1810.5000000000002</v>
      </c>
      <c r="E200">
        <v>146.80000000000001</v>
      </c>
      <c r="F200">
        <v>127.5</v>
      </c>
      <c r="G200">
        <v>1001.8</v>
      </c>
      <c r="H200">
        <v>292.10000000000002</v>
      </c>
      <c r="I200" s="1">
        <f>Table1__2[[#This Row],[Housing]]+Table1__2[[#This Row],[Household goods and services]]</f>
        <v>282.36</v>
      </c>
      <c r="J200">
        <v>141.80000000000001</v>
      </c>
    </row>
    <row r="201" spans="1:10">
      <c r="A201" t="s">
        <v>33</v>
      </c>
      <c r="B201">
        <v>2018</v>
      </c>
      <c r="C201" t="s">
        <v>40</v>
      </c>
      <c r="D201">
        <v>1771.1</v>
      </c>
      <c r="E201">
        <v>128.1</v>
      </c>
      <c r="F201">
        <v>120.1</v>
      </c>
      <c r="G201">
        <v>941.2</v>
      </c>
      <c r="H201">
        <v>291.60000000000002</v>
      </c>
      <c r="I201" s="1">
        <f>Table1__2[[#This Row],[Housing]]+Table1__2[[#This Row],[Household goods and services]]</f>
        <v>277.2</v>
      </c>
      <c r="J201">
        <v>137.5</v>
      </c>
    </row>
    <row r="202" spans="1:10">
      <c r="A202" t="s">
        <v>34</v>
      </c>
      <c r="B202">
        <v>2018</v>
      </c>
      <c r="C202" t="s">
        <v>40</v>
      </c>
      <c r="D202">
        <v>1795.3</v>
      </c>
      <c r="E202">
        <v>139.69999999999999</v>
      </c>
      <c r="F202">
        <v>123.6</v>
      </c>
      <c r="G202">
        <v>975.69999999999982</v>
      </c>
      <c r="H202">
        <v>290.7</v>
      </c>
      <c r="I202" s="1">
        <f>Table1__2[[#This Row],[Housing]]+Table1__2[[#This Row],[Household goods and services]]</f>
        <v>282.2</v>
      </c>
      <c r="J202">
        <v>139.80000000000001</v>
      </c>
    </row>
    <row r="203" spans="1:10">
      <c r="A203" t="s">
        <v>30</v>
      </c>
      <c r="B203">
        <v>2018</v>
      </c>
      <c r="C203" t="s">
        <v>41</v>
      </c>
      <c r="D203">
        <v>1818.8</v>
      </c>
      <c r="E203">
        <v>147.69999999999999</v>
      </c>
      <c r="F203">
        <v>128.30000000000001</v>
      </c>
      <c r="G203">
        <v>1005.4</v>
      </c>
      <c r="H203">
        <v>293</v>
      </c>
      <c r="I203" s="1">
        <f>Table1__2[[#This Row],[Housing]]+Table1__2[[#This Row],[Household goods and services]]</f>
        <v>283.06</v>
      </c>
      <c r="J203">
        <v>142.5</v>
      </c>
    </row>
    <row r="204" spans="1:10">
      <c r="A204" t="s">
        <v>33</v>
      </c>
      <c r="B204">
        <v>2018</v>
      </c>
      <c r="C204" t="s">
        <v>41</v>
      </c>
      <c r="D204">
        <v>1767.6</v>
      </c>
      <c r="E204">
        <v>129.80000000000001</v>
      </c>
      <c r="F204">
        <v>120.7</v>
      </c>
      <c r="G204">
        <v>945.60000000000014</v>
      </c>
      <c r="H204">
        <v>293.10000000000002</v>
      </c>
      <c r="I204" s="1">
        <f>Table1__2[[#This Row],[Housing]]+Table1__2[[#This Row],[Household goods and services]]</f>
        <v>279</v>
      </c>
      <c r="J204">
        <v>138</v>
      </c>
    </row>
    <row r="205" spans="1:10">
      <c r="A205" t="s">
        <v>34</v>
      </c>
      <c r="B205">
        <v>2018</v>
      </c>
      <c r="C205" t="s">
        <v>41</v>
      </c>
      <c r="D205">
        <v>1798.7000000000003</v>
      </c>
      <c r="E205">
        <v>140.9</v>
      </c>
      <c r="F205">
        <v>124.3</v>
      </c>
      <c r="G205">
        <v>979.59999999999991</v>
      </c>
      <c r="H205">
        <v>291.8</v>
      </c>
      <c r="I205" s="1">
        <f>Table1__2[[#This Row],[Housing]]+Table1__2[[#This Row],[Household goods and services]]</f>
        <v>284</v>
      </c>
      <c r="J205">
        <v>140.4</v>
      </c>
    </row>
    <row r="206" spans="1:10">
      <c r="A206" t="s">
        <v>30</v>
      </c>
      <c r="B206">
        <v>2018</v>
      </c>
      <c r="C206" t="s">
        <v>42</v>
      </c>
      <c r="D206">
        <v>1799.8000000000002</v>
      </c>
      <c r="E206">
        <v>149</v>
      </c>
      <c r="F206">
        <v>129.9</v>
      </c>
      <c r="G206">
        <v>1009.1</v>
      </c>
      <c r="H206">
        <v>295.10000000000002</v>
      </c>
      <c r="I206" s="1">
        <f>Table1__2[[#This Row],[Housing]]+Table1__2[[#This Row],[Household goods and services]]</f>
        <v>283.26</v>
      </c>
      <c r="J206">
        <v>142.1</v>
      </c>
    </row>
    <row r="207" spans="1:10">
      <c r="A207" t="s">
        <v>33</v>
      </c>
      <c r="B207">
        <v>2018</v>
      </c>
      <c r="C207" t="s">
        <v>42</v>
      </c>
      <c r="D207">
        <v>1748.4</v>
      </c>
      <c r="E207">
        <v>131.19999999999999</v>
      </c>
      <c r="F207">
        <v>122.5</v>
      </c>
      <c r="G207">
        <v>949.59999999999991</v>
      </c>
      <c r="H207">
        <v>295.20000000000005</v>
      </c>
      <c r="I207" s="1">
        <f>Table1__2[[#This Row],[Housing]]+Table1__2[[#This Row],[Household goods and services]]</f>
        <v>280.20000000000005</v>
      </c>
      <c r="J207">
        <v>138.1</v>
      </c>
    </row>
    <row r="208" spans="1:10">
      <c r="A208" t="s">
        <v>34</v>
      </c>
      <c r="B208">
        <v>2018</v>
      </c>
      <c r="C208" t="s">
        <v>42</v>
      </c>
      <c r="D208">
        <v>1779.5</v>
      </c>
      <c r="E208">
        <v>142.30000000000001</v>
      </c>
      <c r="F208">
        <v>126</v>
      </c>
      <c r="G208">
        <v>983.3</v>
      </c>
      <c r="H208">
        <v>293.89999999999998</v>
      </c>
      <c r="I208" s="1">
        <f>Table1__2[[#This Row],[Housing]]+Table1__2[[#This Row],[Household goods and services]]</f>
        <v>285</v>
      </c>
      <c r="J208">
        <v>140.19999999999999</v>
      </c>
    </row>
    <row r="209" spans="1:10">
      <c r="A209" t="s">
        <v>30</v>
      </c>
      <c r="B209">
        <v>2018</v>
      </c>
      <c r="C209" t="s">
        <v>43</v>
      </c>
      <c r="D209">
        <v>1782.2</v>
      </c>
      <c r="E209">
        <v>149.69999999999999</v>
      </c>
      <c r="F209">
        <v>130.80000000000001</v>
      </c>
      <c r="G209">
        <v>1012.3</v>
      </c>
      <c r="H209">
        <v>299.39999999999998</v>
      </c>
      <c r="I209" s="1">
        <f>Table1__2[[#This Row],[Housing]]+Table1__2[[#This Row],[Household goods and services]]</f>
        <v>286.76</v>
      </c>
      <c r="J209">
        <v>142.19999999999999</v>
      </c>
    </row>
    <row r="210" spans="1:10">
      <c r="A210" t="s">
        <v>33</v>
      </c>
      <c r="B210">
        <v>2018</v>
      </c>
      <c r="C210" t="s">
        <v>43</v>
      </c>
      <c r="D210">
        <v>1754.1</v>
      </c>
      <c r="E210">
        <v>133.4</v>
      </c>
      <c r="F210">
        <v>123.3</v>
      </c>
      <c r="G210">
        <v>953.8</v>
      </c>
      <c r="H210">
        <v>296.5</v>
      </c>
      <c r="I210" s="1">
        <f>Table1__2[[#This Row],[Housing]]+Table1__2[[#This Row],[Household goods and services]]</f>
        <v>281.39999999999998</v>
      </c>
      <c r="J210">
        <v>138.9</v>
      </c>
    </row>
    <row r="211" spans="1:10">
      <c r="A211" t="s">
        <v>34</v>
      </c>
      <c r="B211">
        <v>2018</v>
      </c>
      <c r="C211" t="s">
        <v>43</v>
      </c>
      <c r="D211">
        <v>1776.2</v>
      </c>
      <c r="E211">
        <v>145.30000000000001</v>
      </c>
      <c r="F211">
        <v>125.5</v>
      </c>
      <c r="G211">
        <v>992.39999999999986</v>
      </c>
      <c r="H211">
        <v>298.89999999999998</v>
      </c>
      <c r="I211" s="1">
        <f>Table1__2[[#This Row],[Housing]]+Table1__2[[#This Row],[Household goods and services]]</f>
        <v>289.10000000000002</v>
      </c>
      <c r="J211">
        <v>140.80000000000001</v>
      </c>
    </row>
    <row r="212" spans="1:10">
      <c r="A212" t="s">
        <v>30</v>
      </c>
      <c r="B212">
        <v>2018</v>
      </c>
      <c r="C212" t="s">
        <v>45</v>
      </c>
      <c r="D212">
        <v>1787.4999999999995</v>
      </c>
      <c r="E212">
        <v>150.30000000000001</v>
      </c>
      <c r="F212">
        <v>130.30000000000001</v>
      </c>
      <c r="G212">
        <v>1019.8</v>
      </c>
      <c r="H212">
        <v>302</v>
      </c>
      <c r="I212" s="1">
        <f>Table1__2[[#This Row],[Housing]]+Table1__2[[#This Row],[Household goods and services]]</f>
        <v>287.26</v>
      </c>
      <c r="J212">
        <v>142.4</v>
      </c>
    </row>
    <row r="213" spans="1:10">
      <c r="A213" t="s">
        <v>33</v>
      </c>
      <c r="B213">
        <v>2018</v>
      </c>
      <c r="C213" t="s">
        <v>45</v>
      </c>
      <c r="D213">
        <v>1757.4999999999998</v>
      </c>
      <c r="E213">
        <v>136.69999999999999</v>
      </c>
      <c r="F213">
        <v>121.2</v>
      </c>
      <c r="G213">
        <v>957.80000000000007</v>
      </c>
      <c r="H213">
        <v>296.60000000000002</v>
      </c>
      <c r="I213" s="1">
        <f>Table1__2[[#This Row],[Housing]]+Table1__2[[#This Row],[Household goods and services]]</f>
        <v>282.70000000000005</v>
      </c>
      <c r="J213">
        <v>139</v>
      </c>
    </row>
    <row r="214" spans="1:10">
      <c r="A214" t="s">
        <v>34</v>
      </c>
      <c r="B214">
        <v>2018</v>
      </c>
      <c r="C214" t="s">
        <v>45</v>
      </c>
      <c r="D214">
        <v>1775.7000000000003</v>
      </c>
      <c r="E214">
        <v>145.1</v>
      </c>
      <c r="F214">
        <v>125.5</v>
      </c>
      <c r="G214">
        <v>992.2</v>
      </c>
      <c r="H214">
        <v>298.89999999999998</v>
      </c>
      <c r="I214" s="1">
        <f>Table1__2[[#This Row],[Housing]]+Table1__2[[#This Row],[Household goods and services]]</f>
        <v>289.10000000000002</v>
      </c>
      <c r="J214">
        <v>140.80000000000001</v>
      </c>
    </row>
    <row r="215" spans="1:10">
      <c r="A215" t="s">
        <v>30</v>
      </c>
      <c r="B215">
        <v>2018</v>
      </c>
      <c r="C215" t="s">
        <v>46</v>
      </c>
      <c r="D215">
        <v>1773.1000000000001</v>
      </c>
      <c r="E215">
        <v>149</v>
      </c>
      <c r="F215">
        <v>128.9</v>
      </c>
      <c r="G215">
        <v>1029.5</v>
      </c>
      <c r="H215">
        <v>304</v>
      </c>
      <c r="I215" s="1">
        <f>Table1__2[[#This Row],[Housing]]+Table1__2[[#This Row],[Household goods and services]]</f>
        <v>288.76</v>
      </c>
      <c r="J215">
        <v>141.9</v>
      </c>
    </row>
    <row r="216" spans="1:10">
      <c r="A216" t="s">
        <v>33</v>
      </c>
      <c r="B216">
        <v>2018</v>
      </c>
      <c r="C216" t="s">
        <v>46</v>
      </c>
      <c r="D216">
        <v>1746.6</v>
      </c>
      <c r="E216">
        <v>132.4</v>
      </c>
      <c r="F216">
        <v>118.8</v>
      </c>
      <c r="G216">
        <v>960.09999999999991</v>
      </c>
      <c r="H216">
        <v>296.29999999999995</v>
      </c>
      <c r="I216" s="1">
        <f>Table1__2[[#This Row],[Housing]]+Table1__2[[#This Row],[Household goods and services]]</f>
        <v>282.7</v>
      </c>
      <c r="J216">
        <v>138</v>
      </c>
    </row>
    <row r="217" spans="1:10">
      <c r="A217" t="s">
        <v>34</v>
      </c>
      <c r="B217">
        <v>2018</v>
      </c>
      <c r="C217" t="s">
        <v>46</v>
      </c>
      <c r="D217">
        <v>1762.7999999999997</v>
      </c>
      <c r="E217">
        <v>142.69999999999999</v>
      </c>
      <c r="F217">
        <v>123.6</v>
      </c>
      <c r="G217">
        <v>998.30000000000007</v>
      </c>
      <c r="H217">
        <v>299.8</v>
      </c>
      <c r="I217" s="1">
        <f>Table1__2[[#This Row],[Housing]]+Table1__2[[#This Row],[Household goods and services]]</f>
        <v>289.7</v>
      </c>
      <c r="J217">
        <v>140.1</v>
      </c>
    </row>
    <row r="218" spans="1:10">
      <c r="A218" t="s">
        <v>30</v>
      </c>
      <c r="B218">
        <v>2019</v>
      </c>
      <c r="C218" t="s">
        <v>31</v>
      </c>
      <c r="D218">
        <v>1759.6000000000001</v>
      </c>
      <c r="E218">
        <v>146.19999999999999</v>
      </c>
      <c r="F218">
        <v>128.6</v>
      </c>
      <c r="G218">
        <v>1026.8</v>
      </c>
      <c r="H218">
        <v>304.39999999999998</v>
      </c>
      <c r="I218" s="1">
        <f>Table1__2[[#This Row],[Housing]]+Table1__2[[#This Row],[Household goods and services]]</f>
        <v>289.36</v>
      </c>
      <c r="J218">
        <v>141</v>
      </c>
    </row>
    <row r="219" spans="1:10">
      <c r="A219" t="s">
        <v>33</v>
      </c>
      <c r="B219">
        <v>2019</v>
      </c>
      <c r="C219" t="s">
        <v>31</v>
      </c>
      <c r="D219">
        <v>1744.3000000000002</v>
      </c>
      <c r="E219">
        <v>128.6</v>
      </c>
      <c r="F219">
        <v>118.6</v>
      </c>
      <c r="G219">
        <v>962.5</v>
      </c>
      <c r="H219">
        <v>296.5</v>
      </c>
      <c r="I219" s="1">
        <f>Table1__2[[#This Row],[Housing]]+Table1__2[[#This Row],[Household goods and services]]</f>
        <v>284</v>
      </c>
      <c r="J219">
        <v>138</v>
      </c>
    </row>
    <row r="220" spans="1:10">
      <c r="A220" t="s">
        <v>34</v>
      </c>
      <c r="B220">
        <v>2019</v>
      </c>
      <c r="C220" t="s">
        <v>31</v>
      </c>
      <c r="D220">
        <v>1753.3999999999999</v>
      </c>
      <c r="E220">
        <v>139.5</v>
      </c>
      <c r="F220">
        <v>123.3</v>
      </c>
      <c r="G220">
        <v>997.8</v>
      </c>
      <c r="H220">
        <v>300.10000000000002</v>
      </c>
      <c r="I220" s="1">
        <f>Table1__2[[#This Row],[Housing]]+Table1__2[[#This Row],[Household goods and services]]</f>
        <v>291.29999999999995</v>
      </c>
      <c r="J220">
        <v>139.6</v>
      </c>
    </row>
    <row r="221" spans="1:10">
      <c r="A221" t="s">
        <v>30</v>
      </c>
      <c r="B221">
        <v>2019</v>
      </c>
      <c r="C221" t="s">
        <v>35</v>
      </c>
      <c r="D221">
        <v>1759.8000000000002</v>
      </c>
      <c r="E221">
        <v>145.30000000000001</v>
      </c>
      <c r="F221">
        <v>129.19999999999999</v>
      </c>
      <c r="G221">
        <v>1030.2</v>
      </c>
      <c r="H221">
        <v>305</v>
      </c>
      <c r="I221" s="1">
        <f>Table1__2[[#This Row],[Housing]]+Table1__2[[#This Row],[Household goods and services]]</f>
        <v>289.36</v>
      </c>
      <c r="J221">
        <v>141</v>
      </c>
    </row>
    <row r="222" spans="1:10">
      <c r="A222" t="s">
        <v>33</v>
      </c>
      <c r="B222">
        <v>2019</v>
      </c>
      <c r="C222" t="s">
        <v>35</v>
      </c>
      <c r="D222">
        <v>1754.4</v>
      </c>
      <c r="E222">
        <v>127.1</v>
      </c>
      <c r="F222">
        <v>119.2</v>
      </c>
      <c r="G222">
        <v>965.80000000000007</v>
      </c>
      <c r="H222">
        <v>297.3</v>
      </c>
      <c r="I222" s="1">
        <f>Table1__2[[#This Row],[Housing]]+Table1__2[[#This Row],[Household goods and services]]</f>
        <v>285.10000000000002</v>
      </c>
      <c r="J222">
        <v>138.6</v>
      </c>
    </row>
    <row r="223" spans="1:10">
      <c r="A223" t="s">
        <v>34</v>
      </c>
      <c r="B223">
        <v>2019</v>
      </c>
      <c r="C223" t="s">
        <v>35</v>
      </c>
      <c r="D223">
        <v>1757.1</v>
      </c>
      <c r="E223">
        <v>138.4</v>
      </c>
      <c r="F223">
        <v>123.9</v>
      </c>
      <c r="G223">
        <v>1001</v>
      </c>
      <c r="H223">
        <v>300.8</v>
      </c>
      <c r="I223" s="1">
        <f>Table1__2[[#This Row],[Housing]]+Table1__2[[#This Row],[Household goods and services]]</f>
        <v>292.2</v>
      </c>
      <c r="J223">
        <v>139.9</v>
      </c>
    </row>
    <row r="224" spans="1:10">
      <c r="A224" t="s">
        <v>30</v>
      </c>
      <c r="B224">
        <v>2019</v>
      </c>
      <c r="C224" t="s">
        <v>36</v>
      </c>
      <c r="D224">
        <v>1761.2000000000003</v>
      </c>
      <c r="E224">
        <v>146.4</v>
      </c>
      <c r="F224">
        <v>129.9</v>
      </c>
      <c r="G224">
        <v>1030.6999999999998</v>
      </c>
      <c r="H224">
        <v>305.3</v>
      </c>
      <c r="I224" s="1">
        <f>Table1__2[[#This Row],[Housing]]+Table1__2[[#This Row],[Household goods and services]]</f>
        <v>289.26</v>
      </c>
      <c r="J224">
        <v>141.19999999999999</v>
      </c>
    </row>
    <row r="225" spans="1:10">
      <c r="A225" t="s">
        <v>33</v>
      </c>
      <c r="B225">
        <v>2019</v>
      </c>
      <c r="C225" t="s">
        <v>36</v>
      </c>
      <c r="D225">
        <v>1768.4</v>
      </c>
      <c r="E225">
        <v>128.80000000000001</v>
      </c>
      <c r="F225">
        <v>119.9</v>
      </c>
      <c r="G225">
        <v>967.7</v>
      </c>
      <c r="H225">
        <v>298.10000000000002</v>
      </c>
      <c r="I225" s="1">
        <f>Table1__2[[#This Row],[Housing]]+Table1__2[[#This Row],[Household goods and services]]</f>
        <v>285.8</v>
      </c>
      <c r="J225">
        <v>139.5</v>
      </c>
    </row>
    <row r="226" spans="1:10">
      <c r="A226" t="s">
        <v>34</v>
      </c>
      <c r="B226">
        <v>2019</v>
      </c>
      <c r="C226" t="s">
        <v>36</v>
      </c>
      <c r="D226">
        <v>1762.9</v>
      </c>
      <c r="E226">
        <v>139.69999999999999</v>
      </c>
      <c r="F226">
        <v>124.6</v>
      </c>
      <c r="G226">
        <v>1002.0999999999999</v>
      </c>
      <c r="H226">
        <v>301.2</v>
      </c>
      <c r="I226" s="1">
        <f>Table1__2[[#This Row],[Housing]]+Table1__2[[#This Row],[Household goods and services]]</f>
        <v>292.8</v>
      </c>
      <c r="J226">
        <v>140.4</v>
      </c>
    </row>
    <row r="227" spans="1:10">
      <c r="A227" t="s">
        <v>30</v>
      </c>
      <c r="B227">
        <v>2019</v>
      </c>
      <c r="C227" t="s">
        <v>38</v>
      </c>
      <c r="D227">
        <v>1782.1000000000001</v>
      </c>
      <c r="E227">
        <v>146.9</v>
      </c>
      <c r="F227">
        <v>130.19999999999999</v>
      </c>
      <c r="G227">
        <v>1036.3999999999999</v>
      </c>
      <c r="H227">
        <v>306.20000000000005</v>
      </c>
      <c r="I227" s="1">
        <f>Table1__2[[#This Row],[Housing]]+Table1__2[[#This Row],[Household goods and services]]</f>
        <v>288.76</v>
      </c>
      <c r="J227">
        <v>142.4</v>
      </c>
    </row>
    <row r="228" spans="1:10">
      <c r="A228" t="s">
        <v>33</v>
      </c>
      <c r="B228">
        <v>2019</v>
      </c>
      <c r="C228" t="s">
        <v>38</v>
      </c>
      <c r="D228">
        <v>1811.5000000000002</v>
      </c>
      <c r="E228">
        <v>129.4</v>
      </c>
      <c r="F228">
        <v>120.1</v>
      </c>
      <c r="G228">
        <v>972.3</v>
      </c>
      <c r="H228">
        <v>299.5</v>
      </c>
      <c r="I228" s="1">
        <f>Table1__2[[#This Row],[Housing]]+Table1__2[[#This Row],[Household goods and services]]</f>
        <v>287.29999999999995</v>
      </c>
      <c r="J228">
        <v>141.5</v>
      </c>
    </row>
    <row r="229" spans="1:10">
      <c r="A229" t="s">
        <v>34</v>
      </c>
      <c r="B229">
        <v>2019</v>
      </c>
      <c r="C229" t="s">
        <v>38</v>
      </c>
      <c r="D229">
        <v>1791.9000000000003</v>
      </c>
      <c r="E229">
        <v>140.30000000000001</v>
      </c>
      <c r="F229">
        <v>124.9</v>
      </c>
      <c r="G229">
        <v>1007.2</v>
      </c>
      <c r="H229">
        <v>302.29999999999995</v>
      </c>
      <c r="I229" s="1">
        <f>Table1__2[[#This Row],[Housing]]+Table1__2[[#This Row],[Household goods and services]]</f>
        <v>293.79999999999995</v>
      </c>
      <c r="J229">
        <v>142</v>
      </c>
    </row>
    <row r="230" spans="1:10">
      <c r="A230" t="s">
        <v>30</v>
      </c>
      <c r="B230">
        <v>2019</v>
      </c>
      <c r="C230" t="s">
        <v>39</v>
      </c>
      <c r="D230">
        <v>1804.1999999999998</v>
      </c>
      <c r="E230">
        <v>147.80000000000001</v>
      </c>
      <c r="F230">
        <v>130.19999999999999</v>
      </c>
      <c r="G230">
        <v>1039.2</v>
      </c>
      <c r="H230">
        <v>307.5</v>
      </c>
      <c r="I230" s="1">
        <f>Table1__2[[#This Row],[Housing]]+Table1__2[[#This Row],[Household goods and services]]</f>
        <v>288.86</v>
      </c>
      <c r="J230">
        <v>143.6</v>
      </c>
    </row>
    <row r="231" spans="1:10">
      <c r="A231" t="s">
        <v>33</v>
      </c>
      <c r="B231">
        <v>2019</v>
      </c>
      <c r="C231" t="s">
        <v>39</v>
      </c>
      <c r="D231">
        <v>1833.2999999999997</v>
      </c>
      <c r="E231">
        <v>130.5</v>
      </c>
      <c r="F231">
        <v>119.6</v>
      </c>
      <c r="G231">
        <v>975.6</v>
      </c>
      <c r="H231">
        <v>300.29999999999995</v>
      </c>
      <c r="I231" s="1">
        <f>Table1__2[[#This Row],[Housing]]+Table1__2[[#This Row],[Household goods and services]]</f>
        <v>286.8</v>
      </c>
      <c r="J231">
        <v>142.1</v>
      </c>
    </row>
    <row r="232" spans="1:10">
      <c r="A232" t="s">
        <v>34</v>
      </c>
      <c r="B232">
        <v>2019</v>
      </c>
      <c r="C232" t="s">
        <v>39</v>
      </c>
      <c r="D232">
        <v>1814.1000000000001</v>
      </c>
      <c r="E232">
        <v>141.19999999999999</v>
      </c>
      <c r="F232">
        <v>124.6</v>
      </c>
      <c r="G232">
        <v>1010.1999999999999</v>
      </c>
      <c r="H232">
        <v>303.5</v>
      </c>
      <c r="I232" s="1">
        <f>Table1__2[[#This Row],[Housing]]+Table1__2[[#This Row],[Household goods and services]]</f>
        <v>293.20000000000005</v>
      </c>
      <c r="J232">
        <v>142.9</v>
      </c>
    </row>
    <row r="233" spans="1:10">
      <c r="A233" t="s">
        <v>30</v>
      </c>
      <c r="B233">
        <v>2019</v>
      </c>
      <c r="C233" t="s">
        <v>40</v>
      </c>
      <c r="D233">
        <v>1826.8999999999999</v>
      </c>
      <c r="E233">
        <v>146.80000000000001</v>
      </c>
      <c r="F233">
        <v>131.19999999999999</v>
      </c>
      <c r="G233">
        <v>1044</v>
      </c>
      <c r="H233">
        <v>308.7</v>
      </c>
      <c r="I233" s="1">
        <f>Table1__2[[#This Row],[Housing]]+Table1__2[[#This Row],[Household goods and services]]</f>
        <v>289.26</v>
      </c>
      <c r="J233">
        <v>144.9</v>
      </c>
    </row>
    <row r="234" spans="1:10">
      <c r="A234" t="s">
        <v>33</v>
      </c>
      <c r="B234">
        <v>2019</v>
      </c>
      <c r="C234" t="s">
        <v>40</v>
      </c>
      <c r="D234">
        <v>1857.3999999999999</v>
      </c>
      <c r="E234">
        <v>127</v>
      </c>
      <c r="F234">
        <v>120.6</v>
      </c>
      <c r="G234">
        <v>980.59999999999991</v>
      </c>
      <c r="H234">
        <v>301.7</v>
      </c>
      <c r="I234" s="1">
        <f>Table1__2[[#This Row],[Housing]]+Table1__2[[#This Row],[Household goods and services]]</f>
        <v>288.29999999999995</v>
      </c>
      <c r="J234">
        <v>143.30000000000001</v>
      </c>
    </row>
    <row r="235" spans="1:10">
      <c r="A235" t="s">
        <v>34</v>
      </c>
      <c r="B235">
        <v>2019</v>
      </c>
      <c r="C235" t="s">
        <v>40</v>
      </c>
      <c r="D235">
        <v>1837.5</v>
      </c>
      <c r="E235">
        <v>139.30000000000001</v>
      </c>
      <c r="F235">
        <v>125.6</v>
      </c>
      <c r="G235">
        <v>1015.0999999999999</v>
      </c>
      <c r="H235">
        <v>304.7</v>
      </c>
      <c r="I235" s="1">
        <f>Table1__2[[#This Row],[Housing]]+Table1__2[[#This Row],[Household goods and services]]</f>
        <v>294.79999999999995</v>
      </c>
      <c r="J235">
        <v>144.19999999999999</v>
      </c>
    </row>
    <row r="236" spans="1:10">
      <c r="A236" t="s">
        <v>30</v>
      </c>
      <c r="B236">
        <v>2019</v>
      </c>
      <c r="C236" t="s">
        <v>41</v>
      </c>
      <c r="D236">
        <v>1834.5000000000002</v>
      </c>
      <c r="E236">
        <v>146.4</v>
      </c>
      <c r="F236">
        <v>131.4</v>
      </c>
      <c r="G236">
        <v>1048.6999999999998</v>
      </c>
      <c r="H236">
        <v>310</v>
      </c>
      <c r="I236" s="1">
        <f>Table1__2[[#This Row],[Housing]]+Table1__2[[#This Row],[Household goods and services]]</f>
        <v>289.45999999999998</v>
      </c>
      <c r="J236">
        <v>145.69999999999999</v>
      </c>
    </row>
    <row r="237" spans="1:10">
      <c r="A237" t="s">
        <v>33</v>
      </c>
      <c r="B237">
        <v>2019</v>
      </c>
      <c r="C237" t="s">
        <v>41</v>
      </c>
      <c r="D237">
        <v>1869.1</v>
      </c>
      <c r="E237">
        <v>125.5</v>
      </c>
      <c r="F237">
        <v>120.8</v>
      </c>
      <c r="G237">
        <v>986.40000000000009</v>
      </c>
      <c r="H237">
        <v>303.20000000000005</v>
      </c>
      <c r="I237" s="1">
        <f>Table1__2[[#This Row],[Housing]]+Table1__2[[#This Row],[Household goods and services]]</f>
        <v>289.7</v>
      </c>
      <c r="J237">
        <v>144.19999999999999</v>
      </c>
    </row>
    <row r="238" spans="1:10">
      <c r="A238" t="s">
        <v>34</v>
      </c>
      <c r="B238">
        <v>2019</v>
      </c>
      <c r="C238" t="s">
        <v>41</v>
      </c>
      <c r="D238">
        <v>1846.5</v>
      </c>
      <c r="E238">
        <v>138.5</v>
      </c>
      <c r="F238">
        <v>125.8</v>
      </c>
      <c r="G238">
        <v>1020.3000000000001</v>
      </c>
      <c r="H238">
        <v>306</v>
      </c>
      <c r="I238" s="1">
        <f>Table1__2[[#This Row],[Housing]]+Table1__2[[#This Row],[Household goods and services]]</f>
        <v>296.10000000000002</v>
      </c>
      <c r="J238">
        <v>145</v>
      </c>
    </row>
    <row r="239" spans="1:10">
      <c r="A239" t="s">
        <v>30</v>
      </c>
      <c r="B239">
        <v>2019</v>
      </c>
      <c r="C239" t="s">
        <v>42</v>
      </c>
      <c r="D239">
        <v>1848.7</v>
      </c>
      <c r="E239">
        <v>146.9</v>
      </c>
      <c r="F239">
        <v>131.6</v>
      </c>
      <c r="G239">
        <v>1051.3999999999999</v>
      </c>
      <c r="H239">
        <v>311.10000000000002</v>
      </c>
      <c r="I239" s="1">
        <f>Table1__2[[#This Row],[Housing]]+Table1__2[[#This Row],[Household goods and services]]</f>
        <v>289.56</v>
      </c>
      <c r="J239">
        <v>146.69999999999999</v>
      </c>
    </row>
    <row r="240" spans="1:10">
      <c r="A240" t="s">
        <v>33</v>
      </c>
      <c r="B240">
        <v>2019</v>
      </c>
      <c r="C240" t="s">
        <v>42</v>
      </c>
      <c r="D240">
        <v>1874.9</v>
      </c>
      <c r="E240">
        <v>126.6</v>
      </c>
      <c r="F240">
        <v>121.2</v>
      </c>
      <c r="G240">
        <v>989.20000000000016</v>
      </c>
      <c r="H240">
        <v>304.29999999999995</v>
      </c>
      <c r="I240" s="1">
        <f>Table1__2[[#This Row],[Housing]]+Table1__2[[#This Row],[Household goods and services]]</f>
        <v>290.5</v>
      </c>
      <c r="J240">
        <v>144.69999999999999</v>
      </c>
    </row>
    <row r="241" spans="1:10">
      <c r="A241" t="s">
        <v>34</v>
      </c>
      <c r="B241">
        <v>2019</v>
      </c>
      <c r="C241" t="s">
        <v>42</v>
      </c>
      <c r="D241">
        <v>1857.6999999999998</v>
      </c>
      <c r="E241">
        <v>139.19999999999999</v>
      </c>
      <c r="F241">
        <v>126.1</v>
      </c>
      <c r="G241">
        <v>1022.8999999999999</v>
      </c>
      <c r="H241">
        <v>307.2</v>
      </c>
      <c r="I241" s="1">
        <f>Table1__2[[#This Row],[Housing]]+Table1__2[[#This Row],[Household goods and services]]</f>
        <v>296.79999999999995</v>
      </c>
      <c r="J241">
        <v>145.80000000000001</v>
      </c>
    </row>
    <row r="242" spans="1:10">
      <c r="A242" t="s">
        <v>30</v>
      </c>
      <c r="B242">
        <v>2019</v>
      </c>
      <c r="C242" t="s">
        <v>43</v>
      </c>
      <c r="D242">
        <v>1876.8999999999996</v>
      </c>
      <c r="E242">
        <v>147.69999999999999</v>
      </c>
      <c r="F242">
        <v>131.69999999999999</v>
      </c>
      <c r="G242">
        <v>1052.8000000000002</v>
      </c>
      <c r="H242">
        <v>312</v>
      </c>
      <c r="I242" s="1">
        <f>Table1__2[[#This Row],[Housing]]+Table1__2[[#This Row],[Household goods and services]]</f>
        <v>289.86</v>
      </c>
      <c r="J242">
        <v>148.30000000000001</v>
      </c>
    </row>
    <row r="243" spans="1:10">
      <c r="A243" t="s">
        <v>33</v>
      </c>
      <c r="B243">
        <v>2019</v>
      </c>
      <c r="C243" t="s">
        <v>43</v>
      </c>
      <c r="D243">
        <v>1902.6000000000001</v>
      </c>
      <c r="E243">
        <v>128.9</v>
      </c>
      <c r="F243">
        <v>121.5</v>
      </c>
      <c r="G243">
        <v>992</v>
      </c>
      <c r="H243">
        <v>305.3</v>
      </c>
      <c r="I243" s="1">
        <f>Table1__2[[#This Row],[Housing]]+Table1__2[[#This Row],[Household goods and services]]</f>
        <v>291.7</v>
      </c>
      <c r="J243">
        <v>146</v>
      </c>
    </row>
    <row r="244" spans="1:10">
      <c r="A244" t="s">
        <v>34</v>
      </c>
      <c r="B244">
        <v>2019</v>
      </c>
      <c r="C244" t="s">
        <v>43</v>
      </c>
      <c r="D244">
        <v>1885.5999999999997</v>
      </c>
      <c r="E244">
        <v>140.6</v>
      </c>
      <c r="F244">
        <v>126.3</v>
      </c>
      <c r="G244">
        <v>1024.9000000000001</v>
      </c>
      <c r="H244">
        <v>308.10000000000002</v>
      </c>
      <c r="I244" s="1">
        <f>Table1__2[[#This Row],[Housing]]+Table1__2[[#This Row],[Household goods and services]]</f>
        <v>298</v>
      </c>
      <c r="J244">
        <v>147.19999999999999</v>
      </c>
    </row>
    <row r="245" spans="1:10">
      <c r="A245" t="s">
        <v>30</v>
      </c>
      <c r="B245">
        <v>2019</v>
      </c>
      <c r="C245" t="s">
        <v>45</v>
      </c>
      <c r="D245">
        <v>1904.6000000000001</v>
      </c>
      <c r="E245">
        <v>148.4</v>
      </c>
      <c r="F245">
        <v>132.1</v>
      </c>
      <c r="G245">
        <v>1055.5999999999999</v>
      </c>
      <c r="H245">
        <v>313.29999999999995</v>
      </c>
      <c r="I245" s="1">
        <f>Table1__2[[#This Row],[Housing]]+Table1__2[[#This Row],[Household goods and services]]</f>
        <v>290.15999999999997</v>
      </c>
      <c r="J245">
        <v>149.9</v>
      </c>
    </row>
    <row r="246" spans="1:10">
      <c r="A246" t="s">
        <v>33</v>
      </c>
      <c r="B246">
        <v>2019</v>
      </c>
      <c r="C246" t="s">
        <v>45</v>
      </c>
      <c r="D246">
        <v>1923.9999999999998</v>
      </c>
      <c r="E246">
        <v>132.19999999999999</v>
      </c>
      <c r="F246">
        <v>121.7</v>
      </c>
      <c r="G246">
        <v>994.2</v>
      </c>
      <c r="H246">
        <v>306.20000000000005</v>
      </c>
      <c r="I246" s="1">
        <f>Table1__2[[#This Row],[Housing]]+Table1__2[[#This Row],[Household goods and services]]</f>
        <v>292.60000000000002</v>
      </c>
      <c r="J246">
        <v>147</v>
      </c>
    </row>
    <row r="247" spans="1:10">
      <c r="A247" t="s">
        <v>34</v>
      </c>
      <c r="B247">
        <v>2019</v>
      </c>
      <c r="C247" t="s">
        <v>45</v>
      </c>
      <c r="D247">
        <v>1910.9</v>
      </c>
      <c r="E247">
        <v>142.30000000000001</v>
      </c>
      <c r="F247">
        <v>126.6</v>
      </c>
      <c r="G247">
        <v>1027.3</v>
      </c>
      <c r="H247">
        <v>309.20000000000005</v>
      </c>
      <c r="I247" s="1">
        <f>Table1__2[[#This Row],[Housing]]+Table1__2[[#This Row],[Household goods and services]]</f>
        <v>298.8</v>
      </c>
      <c r="J247">
        <v>148.6</v>
      </c>
    </row>
    <row r="248" spans="1:10">
      <c r="A248" t="s">
        <v>30</v>
      </c>
      <c r="B248">
        <v>2019</v>
      </c>
      <c r="C248" t="s">
        <v>46</v>
      </c>
      <c r="D248">
        <v>1940.9999999999995</v>
      </c>
      <c r="E248">
        <v>149.9</v>
      </c>
      <c r="F248">
        <v>135</v>
      </c>
      <c r="G248">
        <v>1057.8</v>
      </c>
      <c r="H248">
        <v>314.89999999999998</v>
      </c>
      <c r="I248" s="1">
        <f>Table1__2[[#This Row],[Housing]]+Table1__2[[#This Row],[Household goods and services]]</f>
        <v>290.45999999999998</v>
      </c>
      <c r="J248">
        <v>152.30000000000001</v>
      </c>
    </row>
    <row r="249" spans="1:10">
      <c r="A249" t="s">
        <v>33</v>
      </c>
      <c r="B249">
        <v>2019</v>
      </c>
      <c r="C249" t="s">
        <v>46</v>
      </c>
      <c r="D249">
        <v>1956.7</v>
      </c>
      <c r="E249">
        <v>133.6</v>
      </c>
      <c r="F249">
        <v>125.2</v>
      </c>
      <c r="G249">
        <v>996.29999999999984</v>
      </c>
      <c r="H249">
        <v>308.10000000000002</v>
      </c>
      <c r="I249" s="1">
        <f>Table1__2[[#This Row],[Housing]]+Table1__2[[#This Row],[Household goods and services]]</f>
        <v>292.60000000000002</v>
      </c>
      <c r="J249">
        <v>148.30000000000001</v>
      </c>
    </row>
    <row r="250" spans="1:10">
      <c r="A250" t="s">
        <v>34</v>
      </c>
      <c r="B250">
        <v>2019</v>
      </c>
      <c r="C250" t="s">
        <v>46</v>
      </c>
      <c r="D250">
        <v>1946.1000000000001</v>
      </c>
      <c r="E250">
        <v>143.69999999999999</v>
      </c>
      <c r="F250">
        <v>129.80000000000001</v>
      </c>
      <c r="G250">
        <v>1029.4000000000001</v>
      </c>
      <c r="H250">
        <v>311</v>
      </c>
      <c r="I250" s="1">
        <f>Table1__2[[#This Row],[Housing]]+Table1__2[[#This Row],[Household goods and services]]</f>
        <v>298.60000000000002</v>
      </c>
      <c r="J250">
        <v>150.4</v>
      </c>
    </row>
    <row r="251" spans="1:10">
      <c r="A251" t="s">
        <v>30</v>
      </c>
      <c r="B251">
        <v>2020</v>
      </c>
      <c r="C251" t="s">
        <v>31</v>
      </c>
      <c r="D251">
        <v>1938.6</v>
      </c>
      <c r="E251">
        <v>150.4</v>
      </c>
      <c r="F251">
        <v>136.30000000000001</v>
      </c>
      <c r="G251">
        <v>1062.3</v>
      </c>
      <c r="H251">
        <v>316.7</v>
      </c>
      <c r="I251" s="1">
        <f>Table1__2[[#This Row],[Housing]]+Table1__2[[#This Row],[Household goods and services]]</f>
        <v>290.95999999999998</v>
      </c>
      <c r="J251">
        <v>151.9</v>
      </c>
    </row>
    <row r="252" spans="1:10">
      <c r="A252" t="s">
        <v>33</v>
      </c>
      <c r="B252">
        <v>2020</v>
      </c>
      <c r="C252" t="s">
        <v>31</v>
      </c>
      <c r="D252">
        <v>1945.3999999999999</v>
      </c>
      <c r="E252">
        <v>135.1</v>
      </c>
      <c r="F252">
        <v>126.1</v>
      </c>
      <c r="G252">
        <v>1000.3000000000001</v>
      </c>
      <c r="H252">
        <v>309.20000000000005</v>
      </c>
      <c r="I252" s="1">
        <f>Table1__2[[#This Row],[Housing]]+Table1__2[[#This Row],[Household goods and services]]</f>
        <v>294</v>
      </c>
      <c r="J252">
        <v>148.19999999999999</v>
      </c>
    </row>
    <row r="253" spans="1:10">
      <c r="A253" t="s">
        <v>34</v>
      </c>
      <c r="B253">
        <v>2020</v>
      </c>
      <c r="C253" t="s">
        <v>31</v>
      </c>
      <c r="D253">
        <v>1940.3999999999999</v>
      </c>
      <c r="E253">
        <v>144.6</v>
      </c>
      <c r="F253">
        <v>130.9</v>
      </c>
      <c r="G253">
        <v>1033.5999999999999</v>
      </c>
      <c r="H253">
        <v>312.60000000000002</v>
      </c>
      <c r="I253" s="1">
        <f>Table1__2[[#This Row],[Housing]]+Table1__2[[#This Row],[Household goods and services]]</f>
        <v>300.10000000000002</v>
      </c>
      <c r="J253">
        <v>150.19999999999999</v>
      </c>
    </row>
    <row r="254" spans="1:10">
      <c r="A254" t="s">
        <v>30</v>
      </c>
      <c r="B254">
        <v>2020</v>
      </c>
      <c r="C254" t="s">
        <v>35</v>
      </c>
      <c r="D254">
        <v>1909.7999999999997</v>
      </c>
      <c r="E254">
        <v>152.30000000000001</v>
      </c>
      <c r="F254">
        <v>136</v>
      </c>
      <c r="G254">
        <v>1064.7</v>
      </c>
      <c r="H254">
        <v>317.8</v>
      </c>
      <c r="I254" s="1">
        <f>Table1__2[[#This Row],[Housing]]+Table1__2[[#This Row],[Household goods and services]]</f>
        <v>291.06</v>
      </c>
      <c r="J254">
        <v>150.4</v>
      </c>
    </row>
    <row r="255" spans="1:10">
      <c r="A255" t="s">
        <v>33</v>
      </c>
      <c r="B255">
        <v>2020</v>
      </c>
      <c r="C255" t="s">
        <v>35</v>
      </c>
      <c r="D255">
        <v>1916.6</v>
      </c>
      <c r="E255">
        <v>138.9</v>
      </c>
      <c r="F255">
        <v>125.2</v>
      </c>
      <c r="G255">
        <v>1003.8</v>
      </c>
      <c r="H255">
        <v>310.39999999999998</v>
      </c>
      <c r="I255" s="1">
        <f>Table1__2[[#This Row],[Housing]]+Table1__2[[#This Row],[Household goods and services]]</f>
        <v>295.20000000000005</v>
      </c>
      <c r="J255">
        <v>147.69999999999999</v>
      </c>
    </row>
    <row r="256" spans="1:10">
      <c r="A256" t="s">
        <v>34</v>
      </c>
      <c r="B256">
        <v>2020</v>
      </c>
      <c r="C256" t="s">
        <v>35</v>
      </c>
      <c r="D256">
        <v>1911.6</v>
      </c>
      <c r="E256">
        <v>147.19999999999999</v>
      </c>
      <c r="F256">
        <v>130.30000000000001</v>
      </c>
      <c r="G256">
        <v>1036.5</v>
      </c>
      <c r="H256">
        <v>313.7</v>
      </c>
      <c r="I256" s="1">
        <f>Table1__2[[#This Row],[Housing]]+Table1__2[[#This Row],[Household goods and services]]</f>
        <v>301.20000000000005</v>
      </c>
      <c r="J256">
        <v>149.1</v>
      </c>
    </row>
    <row r="257" spans="1:10">
      <c r="A257" t="s">
        <v>30</v>
      </c>
      <c r="B257">
        <v>2020</v>
      </c>
      <c r="C257" t="s">
        <v>36</v>
      </c>
      <c r="D257">
        <v>1894.5999999999997</v>
      </c>
      <c r="E257">
        <v>153.4</v>
      </c>
      <c r="F257">
        <v>135.80000000000001</v>
      </c>
      <c r="G257">
        <v>1067.7</v>
      </c>
      <c r="H257">
        <v>319.10000000000002</v>
      </c>
      <c r="I257" s="1">
        <f>Table1__2[[#This Row],[Housing]]+Table1__2[[#This Row],[Household goods and services]]</f>
        <v>290.76</v>
      </c>
      <c r="J257">
        <v>149.80000000000001</v>
      </c>
    </row>
    <row r="258" spans="1:10">
      <c r="A258" t="s">
        <v>33</v>
      </c>
      <c r="B258">
        <v>2020</v>
      </c>
      <c r="C258" t="s">
        <v>36</v>
      </c>
      <c r="D258">
        <v>1898.5</v>
      </c>
      <c r="E258">
        <v>141.4</v>
      </c>
      <c r="F258">
        <v>124.6</v>
      </c>
      <c r="G258">
        <v>1007.8</v>
      </c>
      <c r="H258">
        <v>312</v>
      </c>
      <c r="I258" s="1">
        <f>Table1__2[[#This Row],[Housing]]+Table1__2[[#This Row],[Household goods and services]]</f>
        <v>295.3</v>
      </c>
      <c r="J258">
        <v>147.30000000000001</v>
      </c>
    </row>
    <row r="259" spans="1:10">
      <c r="A259" t="s">
        <v>34</v>
      </c>
      <c r="B259">
        <v>2020</v>
      </c>
      <c r="C259" t="s">
        <v>36</v>
      </c>
      <c r="D259">
        <v>1895.4</v>
      </c>
      <c r="E259">
        <v>148.9</v>
      </c>
      <c r="F259">
        <v>129.9</v>
      </c>
      <c r="G259">
        <v>1040.2</v>
      </c>
      <c r="H259">
        <v>315</v>
      </c>
      <c r="I259" s="1">
        <f>Table1__2[[#This Row],[Housing]]+Table1__2[[#This Row],[Household goods and services]]</f>
        <v>300.89999999999998</v>
      </c>
      <c r="J259">
        <v>148.6</v>
      </c>
    </row>
    <row r="260" spans="1:10">
      <c r="A260" t="s">
        <v>30</v>
      </c>
      <c r="B260">
        <v>2020</v>
      </c>
      <c r="C260" t="s">
        <v>39</v>
      </c>
      <c r="D260">
        <v>1951</v>
      </c>
      <c r="E260">
        <v>144.9</v>
      </c>
      <c r="F260">
        <v>141.4</v>
      </c>
      <c r="G260">
        <v>1083.2</v>
      </c>
      <c r="H260">
        <v>334.1</v>
      </c>
      <c r="I260" s="1" t="e">
        <f>Table1__2[[#This Row],[Housing]]+Table1__2[[#This Row],[Household goods and services]]</f>
        <v>#VALUE!</v>
      </c>
      <c r="J260">
        <v>152.69999999999999</v>
      </c>
    </row>
    <row r="261" spans="1:10">
      <c r="A261" t="s">
        <v>33</v>
      </c>
      <c r="B261">
        <v>2020</v>
      </c>
      <c r="C261" t="s">
        <v>39</v>
      </c>
      <c r="D261">
        <v>1994.9999999999998</v>
      </c>
      <c r="E261">
        <v>137.1</v>
      </c>
      <c r="F261">
        <v>129.30000000000001</v>
      </c>
      <c r="G261">
        <v>1030.2</v>
      </c>
      <c r="H261">
        <v>328.7</v>
      </c>
      <c r="I261" s="1" t="e">
        <f>Table1__2[[#This Row],[Housing]]+Table1__2[[#This Row],[Household goods and services]]</f>
        <v>#VALUE!</v>
      </c>
      <c r="J261">
        <v>150.80000000000001</v>
      </c>
    </row>
    <row r="262" spans="1:10">
      <c r="A262" t="s">
        <v>34</v>
      </c>
      <c r="B262">
        <v>2020</v>
      </c>
      <c r="C262" t="s">
        <v>39</v>
      </c>
      <c r="D262">
        <v>1966.8000000000002</v>
      </c>
      <c r="E262">
        <v>141.9</v>
      </c>
      <c r="F262">
        <v>135</v>
      </c>
      <c r="G262">
        <v>1059</v>
      </c>
      <c r="H262">
        <v>330.5</v>
      </c>
      <c r="I262" s="1" t="e">
        <f>Table1__2[[#This Row],[Housing]]+Table1__2[[#This Row],[Household goods and services]]</f>
        <v>#VALUE!</v>
      </c>
      <c r="J262">
        <v>151.80000000000001</v>
      </c>
    </row>
    <row r="263" spans="1:10">
      <c r="A263" t="s">
        <v>30</v>
      </c>
      <c r="B263">
        <v>2020</v>
      </c>
      <c r="C263" t="s">
        <v>40</v>
      </c>
      <c r="D263">
        <v>1951</v>
      </c>
      <c r="E263">
        <v>144.9</v>
      </c>
      <c r="F263">
        <v>141.4</v>
      </c>
      <c r="G263">
        <v>1083.2</v>
      </c>
      <c r="H263">
        <v>334.1</v>
      </c>
      <c r="I263" s="1" t="e">
        <f>Table1__2[[#This Row],[Housing]]+Table1__2[[#This Row],[Household goods and services]]</f>
        <v>#VALUE!</v>
      </c>
      <c r="J263">
        <v>152.69999999999999</v>
      </c>
    </row>
    <row r="264" spans="1:10">
      <c r="A264" t="s">
        <v>33</v>
      </c>
      <c r="B264">
        <v>2020</v>
      </c>
      <c r="C264" t="s">
        <v>40</v>
      </c>
      <c r="D264">
        <v>1994.9999999999998</v>
      </c>
      <c r="E264">
        <v>137.1</v>
      </c>
      <c r="F264">
        <v>129.30000000000001</v>
      </c>
      <c r="G264">
        <v>1030.2</v>
      </c>
      <c r="H264">
        <v>328.7</v>
      </c>
      <c r="I264" s="1" t="e">
        <f>Table1__2[[#This Row],[Housing]]+Table1__2[[#This Row],[Household goods and services]]</f>
        <v>#VALUE!</v>
      </c>
      <c r="J264">
        <v>150.80000000000001</v>
      </c>
    </row>
    <row r="265" spans="1:10">
      <c r="A265" t="s">
        <v>34</v>
      </c>
      <c r="B265">
        <v>2020</v>
      </c>
      <c r="C265" t="s">
        <v>40</v>
      </c>
      <c r="D265">
        <v>1966.8000000000002</v>
      </c>
      <c r="E265">
        <v>141.9</v>
      </c>
      <c r="F265">
        <v>135</v>
      </c>
      <c r="G265">
        <v>1059</v>
      </c>
      <c r="H265">
        <v>330.5</v>
      </c>
      <c r="I265" s="1" t="e">
        <f>Table1__2[[#This Row],[Housing]]+Table1__2[[#This Row],[Household goods and services]]</f>
        <v>#VALUE!</v>
      </c>
      <c r="J265">
        <v>151.80000000000001</v>
      </c>
    </row>
    <row r="266" spans="1:10">
      <c r="A266" t="s">
        <v>30</v>
      </c>
      <c r="B266">
        <v>2020</v>
      </c>
      <c r="C266" t="s">
        <v>41</v>
      </c>
      <c r="D266">
        <v>1978.6</v>
      </c>
      <c r="E266">
        <v>145.80000000000001</v>
      </c>
      <c r="F266">
        <v>143.6</v>
      </c>
      <c r="G266">
        <v>1086</v>
      </c>
      <c r="H266">
        <v>333.9</v>
      </c>
      <c r="I266" s="1">
        <f>Table1__2[[#This Row],[Housing]]+Table1__2[[#This Row],[Household goods and services]]</f>
        <v>290.95999999999998</v>
      </c>
      <c r="J266">
        <v>154.69999999999999</v>
      </c>
    </row>
    <row r="267" spans="1:10">
      <c r="A267" t="s">
        <v>33</v>
      </c>
      <c r="B267">
        <v>2020</v>
      </c>
      <c r="C267" t="s">
        <v>41</v>
      </c>
      <c r="D267">
        <v>2024.8999999999999</v>
      </c>
      <c r="E267">
        <v>138.30000000000001</v>
      </c>
      <c r="F267">
        <v>133.9</v>
      </c>
      <c r="G267">
        <v>1033.5999999999999</v>
      </c>
      <c r="H267">
        <v>332</v>
      </c>
      <c r="I267" s="1">
        <f>Table1__2[[#This Row],[Housing]]+Table1__2[[#This Row],[Household goods and services]]</f>
        <v>295.10000000000002</v>
      </c>
      <c r="J267">
        <v>152.9</v>
      </c>
    </row>
    <row r="268" spans="1:10">
      <c r="A268" t="s">
        <v>34</v>
      </c>
      <c r="B268">
        <v>2020</v>
      </c>
      <c r="C268" t="s">
        <v>41</v>
      </c>
      <c r="D268">
        <v>1995.1999999999998</v>
      </c>
      <c r="E268">
        <v>143</v>
      </c>
      <c r="F268">
        <v>138.5</v>
      </c>
      <c r="G268">
        <v>1062</v>
      </c>
      <c r="H268">
        <v>331.6</v>
      </c>
      <c r="I268" s="1">
        <f>Table1__2[[#This Row],[Housing]]+Table1__2[[#This Row],[Household goods and services]]</f>
        <v>301.10000000000002</v>
      </c>
      <c r="J268">
        <v>153.9</v>
      </c>
    </row>
    <row r="269" spans="1:10">
      <c r="A269" t="s">
        <v>30</v>
      </c>
      <c r="B269">
        <v>2020</v>
      </c>
      <c r="C269" t="s">
        <v>42</v>
      </c>
      <c r="D269">
        <v>1987.3999999999999</v>
      </c>
      <c r="E269">
        <v>146.4</v>
      </c>
      <c r="F269">
        <v>144.6</v>
      </c>
      <c r="G269">
        <v>1090.3</v>
      </c>
      <c r="H269">
        <v>336.6</v>
      </c>
      <c r="I269" s="1">
        <f>Table1__2[[#This Row],[Housing]]+Table1__2[[#This Row],[Household goods and services]]</f>
        <v>290.95999999999998</v>
      </c>
      <c r="J269">
        <v>155.4</v>
      </c>
    </row>
    <row r="270" spans="1:10">
      <c r="A270" t="s">
        <v>33</v>
      </c>
      <c r="B270">
        <v>2020</v>
      </c>
      <c r="C270" t="s">
        <v>42</v>
      </c>
      <c r="D270">
        <v>2041.6000000000001</v>
      </c>
      <c r="E270">
        <v>137.19999999999999</v>
      </c>
      <c r="F270">
        <v>135.1</v>
      </c>
      <c r="G270">
        <v>1041.1000000000001</v>
      </c>
      <c r="H270">
        <v>334.7</v>
      </c>
      <c r="I270" s="1">
        <f>Table1__2[[#This Row],[Housing]]+Table1__2[[#This Row],[Household goods and services]]</f>
        <v>295.10000000000002</v>
      </c>
      <c r="J270">
        <v>154</v>
      </c>
    </row>
    <row r="271" spans="1:10">
      <c r="A271" t="s">
        <v>34</v>
      </c>
      <c r="B271">
        <v>2020</v>
      </c>
      <c r="C271" t="s">
        <v>42</v>
      </c>
      <c r="D271">
        <v>2007</v>
      </c>
      <c r="E271">
        <v>142.9</v>
      </c>
      <c r="F271">
        <v>139.6</v>
      </c>
      <c r="G271">
        <v>1067.8</v>
      </c>
      <c r="H271">
        <v>334.4</v>
      </c>
      <c r="I271" s="1">
        <f>Table1__2[[#This Row],[Housing]]+Table1__2[[#This Row],[Household goods and services]]</f>
        <v>301.10000000000002</v>
      </c>
      <c r="J271">
        <v>154.69999999999999</v>
      </c>
    </row>
    <row r="272" spans="1:10">
      <c r="A272" t="s">
        <v>30</v>
      </c>
      <c r="B272">
        <v>2020</v>
      </c>
      <c r="C272" t="s">
        <v>43</v>
      </c>
      <c r="D272">
        <v>2030.9</v>
      </c>
      <c r="E272">
        <v>146.80000000000001</v>
      </c>
      <c r="F272">
        <v>146.4</v>
      </c>
      <c r="G272">
        <v>1091.9000000000001</v>
      </c>
      <c r="H272">
        <v>337</v>
      </c>
      <c r="I272" s="1">
        <f>Table1__2[[#This Row],[Housing]]+Table1__2[[#This Row],[Household goods and services]]</f>
        <v>291.15999999999997</v>
      </c>
      <c r="J272">
        <v>157.5</v>
      </c>
    </row>
    <row r="273" spans="1:10">
      <c r="A273" t="s">
        <v>33</v>
      </c>
      <c r="B273">
        <v>2020</v>
      </c>
      <c r="C273" t="s">
        <v>43</v>
      </c>
      <c r="D273">
        <v>2080.1999999999998</v>
      </c>
      <c r="E273">
        <v>137.1</v>
      </c>
      <c r="F273">
        <v>135.4</v>
      </c>
      <c r="G273">
        <v>1041.7</v>
      </c>
      <c r="H273">
        <v>334.9</v>
      </c>
      <c r="I273" s="1">
        <f>Table1__2[[#This Row],[Housing]]+Table1__2[[#This Row],[Household goods and services]]</f>
        <v>300</v>
      </c>
      <c r="J273">
        <v>155.19999999999999</v>
      </c>
    </row>
    <row r="274" spans="1:10">
      <c r="A274" t="s">
        <v>34</v>
      </c>
      <c r="B274">
        <v>2020</v>
      </c>
      <c r="C274" t="s">
        <v>43</v>
      </c>
      <c r="D274">
        <v>2048.6000000000004</v>
      </c>
      <c r="E274">
        <v>143.1</v>
      </c>
      <c r="F274">
        <v>140.6</v>
      </c>
      <c r="G274">
        <v>1068.9000000000001</v>
      </c>
      <c r="H274">
        <v>334.70000000000005</v>
      </c>
      <c r="I274" s="1">
        <f>Table1__2[[#This Row],[Housing]]+Table1__2[[#This Row],[Household goods and services]]</f>
        <v>303.89999999999998</v>
      </c>
      <c r="J274">
        <v>156.4</v>
      </c>
    </row>
    <row r="275" spans="1:10">
      <c r="A275" t="s">
        <v>30</v>
      </c>
      <c r="B275">
        <v>2020</v>
      </c>
      <c r="C275" t="s">
        <v>45</v>
      </c>
      <c r="D275">
        <v>2082.4</v>
      </c>
      <c r="E275">
        <v>147.5</v>
      </c>
      <c r="F275">
        <v>146.1</v>
      </c>
      <c r="G275">
        <v>1094.5999999999999</v>
      </c>
      <c r="H275">
        <v>337.9</v>
      </c>
      <c r="I275" s="1">
        <f>Table1__2[[#This Row],[Housing]]+Table1__2[[#This Row],[Household goods and services]]</f>
        <v>290.86</v>
      </c>
      <c r="J275">
        <v>159.80000000000001</v>
      </c>
    </row>
    <row r="276" spans="1:10">
      <c r="A276" t="s">
        <v>33</v>
      </c>
      <c r="B276">
        <v>2020</v>
      </c>
      <c r="C276" t="s">
        <v>45</v>
      </c>
      <c r="D276">
        <v>2120.6999999999998</v>
      </c>
      <c r="E276">
        <v>137.30000000000001</v>
      </c>
      <c r="F276">
        <v>135.19999999999999</v>
      </c>
      <c r="G276">
        <v>1047</v>
      </c>
      <c r="H276">
        <v>335.4</v>
      </c>
      <c r="I276" s="1">
        <f>Table1__2[[#This Row],[Housing]]+Table1__2[[#This Row],[Household goods and services]]</f>
        <v>301.70000000000005</v>
      </c>
      <c r="J276">
        <v>156.69999999999999</v>
      </c>
    </row>
    <row r="277" spans="1:10">
      <c r="A277" t="s">
        <v>34</v>
      </c>
      <c r="B277">
        <v>2020</v>
      </c>
      <c r="C277" t="s">
        <v>45</v>
      </c>
      <c r="D277">
        <v>2095.6</v>
      </c>
      <c r="E277">
        <v>143.6</v>
      </c>
      <c r="F277">
        <v>140.4</v>
      </c>
      <c r="G277">
        <v>1073.0999999999999</v>
      </c>
      <c r="H277">
        <v>335.5</v>
      </c>
      <c r="I277" s="1">
        <f>Table1__2[[#This Row],[Housing]]+Table1__2[[#This Row],[Household goods and services]]</f>
        <v>305</v>
      </c>
      <c r="J277">
        <v>158.4</v>
      </c>
    </row>
    <row r="278" spans="1:10">
      <c r="A278" t="s">
        <v>30</v>
      </c>
      <c r="B278">
        <v>2020</v>
      </c>
      <c r="C278" t="s">
        <v>46</v>
      </c>
      <c r="D278">
        <v>2100.5</v>
      </c>
      <c r="E278">
        <v>148.69999999999999</v>
      </c>
      <c r="F278">
        <v>146.4</v>
      </c>
      <c r="G278">
        <v>1099.9000000000001</v>
      </c>
      <c r="H278">
        <v>338.79999999999995</v>
      </c>
      <c r="I278" s="1">
        <f>Table1__2[[#This Row],[Housing]]+Table1__2[[#This Row],[Household goods and services]]</f>
        <v>291.26</v>
      </c>
      <c r="J278">
        <v>160.69999999999999</v>
      </c>
    </row>
    <row r="279" spans="1:10">
      <c r="A279" t="s">
        <v>33</v>
      </c>
      <c r="B279">
        <v>2020</v>
      </c>
      <c r="C279" t="s">
        <v>46</v>
      </c>
      <c r="D279">
        <v>2125.4</v>
      </c>
      <c r="E279">
        <v>137.9</v>
      </c>
      <c r="F279">
        <v>135.5</v>
      </c>
      <c r="G279">
        <v>1050.2</v>
      </c>
      <c r="H279">
        <v>337.1</v>
      </c>
      <c r="I279" s="1">
        <f>Table1__2[[#This Row],[Housing]]+Table1__2[[#This Row],[Household goods and services]]</f>
        <v>301.60000000000002</v>
      </c>
      <c r="J279">
        <v>156.9</v>
      </c>
    </row>
    <row r="280" spans="1:10">
      <c r="A280" t="s">
        <v>34</v>
      </c>
      <c r="B280">
        <v>2020</v>
      </c>
      <c r="C280" t="s">
        <v>46</v>
      </c>
      <c r="D280">
        <v>2109.1</v>
      </c>
      <c r="E280">
        <v>144.6</v>
      </c>
      <c r="F280">
        <v>140.69999999999999</v>
      </c>
      <c r="G280">
        <v>1077.3</v>
      </c>
      <c r="H280">
        <v>336.6</v>
      </c>
      <c r="I280" s="1">
        <f>Table1__2[[#This Row],[Housing]]+Table1__2[[#This Row],[Household goods and services]]</f>
        <v>305.2</v>
      </c>
      <c r="J280">
        <v>158.9</v>
      </c>
    </row>
    <row r="281" spans="1:10">
      <c r="A281" t="s">
        <v>30</v>
      </c>
      <c r="B281">
        <v>2021</v>
      </c>
      <c r="C281" t="s">
        <v>31</v>
      </c>
      <c r="D281">
        <v>2065.6999999999998</v>
      </c>
      <c r="E281">
        <v>150.9</v>
      </c>
      <c r="F281">
        <v>147.5</v>
      </c>
      <c r="G281">
        <v>1104</v>
      </c>
      <c r="H281">
        <v>340.5</v>
      </c>
      <c r="I281" s="1">
        <f>Table1__2[[#This Row],[Housing]]+Table1__2[[#This Row],[Household goods and services]]</f>
        <v>292.06</v>
      </c>
      <c r="J281">
        <v>158.5</v>
      </c>
    </row>
    <row r="282" spans="1:10">
      <c r="A282" t="s">
        <v>33</v>
      </c>
      <c r="B282">
        <v>2021</v>
      </c>
      <c r="C282" t="s">
        <v>31</v>
      </c>
      <c r="D282">
        <v>2097</v>
      </c>
      <c r="E282">
        <v>142.9</v>
      </c>
      <c r="F282">
        <v>136.9</v>
      </c>
      <c r="G282">
        <v>1053.3</v>
      </c>
      <c r="H282">
        <v>339.4</v>
      </c>
      <c r="I282" s="1">
        <f>Table1__2[[#This Row],[Housing]]+Table1__2[[#This Row],[Household goods and services]]</f>
        <v>303.10000000000002</v>
      </c>
      <c r="J282">
        <v>156</v>
      </c>
    </row>
    <row r="283" spans="1:10">
      <c r="A283" t="s">
        <v>34</v>
      </c>
      <c r="B283">
        <v>2021</v>
      </c>
      <c r="C283" t="s">
        <v>31</v>
      </c>
      <c r="D283">
        <v>2076.5</v>
      </c>
      <c r="E283">
        <v>147.9</v>
      </c>
      <c r="F283">
        <v>141.9</v>
      </c>
      <c r="G283">
        <v>1080.7</v>
      </c>
      <c r="H283">
        <v>338.4</v>
      </c>
      <c r="I283" s="1">
        <f>Table1__2[[#This Row],[Housing]]+Table1__2[[#This Row],[Household goods and services]]</f>
        <v>307.2</v>
      </c>
      <c r="J283">
        <v>157.30000000000001</v>
      </c>
    </row>
    <row r="284" spans="1:10">
      <c r="A284" t="s">
        <v>30</v>
      </c>
      <c r="B284">
        <v>2021</v>
      </c>
      <c r="C284" t="s">
        <v>35</v>
      </c>
      <c r="D284">
        <v>2025.3</v>
      </c>
      <c r="E284">
        <v>154.4</v>
      </c>
      <c r="F284">
        <v>150.19999999999999</v>
      </c>
      <c r="G284">
        <v>1111.5</v>
      </c>
      <c r="H284">
        <v>343.7</v>
      </c>
      <c r="I284" s="1">
        <f>Table1__2[[#This Row],[Housing]]+Table1__2[[#This Row],[Household goods and services]]</f>
        <v>292.65999999999997</v>
      </c>
      <c r="J284">
        <v>156.69999999999999</v>
      </c>
    </row>
    <row r="285" spans="1:10">
      <c r="A285" t="s">
        <v>33</v>
      </c>
      <c r="B285">
        <v>2021</v>
      </c>
      <c r="C285" t="s">
        <v>35</v>
      </c>
      <c r="D285">
        <v>2066</v>
      </c>
      <c r="E285">
        <v>149.1</v>
      </c>
      <c r="F285">
        <v>140.5</v>
      </c>
      <c r="G285">
        <v>1061.0999999999999</v>
      </c>
      <c r="H285">
        <v>342.6</v>
      </c>
      <c r="I285" s="1">
        <f>Table1__2[[#This Row],[Housing]]+Table1__2[[#This Row],[Household goods and services]]</f>
        <v>303.89999999999998</v>
      </c>
      <c r="J285">
        <v>156.5</v>
      </c>
    </row>
    <row r="286" spans="1:10">
      <c r="A286" t="s">
        <v>34</v>
      </c>
      <c r="B286">
        <v>2021</v>
      </c>
      <c r="C286" t="s">
        <v>35</v>
      </c>
      <c r="D286">
        <v>2039.3000000000002</v>
      </c>
      <c r="E286">
        <v>152.4</v>
      </c>
      <c r="F286">
        <v>145.1</v>
      </c>
      <c r="G286">
        <v>1088.5</v>
      </c>
      <c r="H286">
        <v>341.70000000000005</v>
      </c>
      <c r="I286" s="1">
        <f>Table1__2[[#This Row],[Housing]]+Table1__2[[#This Row],[Household goods and services]]</f>
        <v>308.10000000000002</v>
      </c>
      <c r="J286">
        <v>156.6</v>
      </c>
    </row>
    <row r="287" spans="1:10">
      <c r="A287" t="s">
        <v>30</v>
      </c>
      <c r="B287">
        <v>2021</v>
      </c>
      <c r="C287" t="s">
        <v>36</v>
      </c>
      <c r="D287">
        <v>2025.7</v>
      </c>
      <c r="E287">
        <v>156</v>
      </c>
      <c r="F287">
        <v>151.30000000000001</v>
      </c>
      <c r="G287">
        <v>1112.2</v>
      </c>
      <c r="H287">
        <v>343.4</v>
      </c>
      <c r="I287" s="1">
        <f>Table1__2[[#This Row],[Housing]]+Table1__2[[#This Row],[Household goods and services]]</f>
        <v>293.15999999999997</v>
      </c>
      <c r="J287">
        <v>156.69999999999999</v>
      </c>
    </row>
    <row r="288" spans="1:10">
      <c r="A288" t="s">
        <v>33</v>
      </c>
      <c r="B288">
        <v>2021</v>
      </c>
      <c r="C288" t="s">
        <v>36</v>
      </c>
      <c r="D288">
        <v>2064.4999999999995</v>
      </c>
      <c r="E288">
        <v>154.80000000000001</v>
      </c>
      <c r="F288">
        <v>141.69999999999999</v>
      </c>
      <c r="G288">
        <v>1064.3999999999999</v>
      </c>
      <c r="H288">
        <v>343.5</v>
      </c>
      <c r="I288" s="1">
        <f>Table1__2[[#This Row],[Housing]]+Table1__2[[#This Row],[Household goods and services]]</f>
        <v>303.39999999999998</v>
      </c>
      <c r="J288">
        <v>156.9</v>
      </c>
    </row>
    <row r="289" spans="1:10">
      <c r="A289" t="s">
        <v>34</v>
      </c>
      <c r="B289">
        <v>2021</v>
      </c>
      <c r="C289" t="s">
        <v>36</v>
      </c>
      <c r="D289">
        <v>2039.3999999999999</v>
      </c>
      <c r="E289">
        <v>155.5</v>
      </c>
      <c r="F289">
        <v>146.19999999999999</v>
      </c>
      <c r="G289">
        <v>1090.3999999999999</v>
      </c>
      <c r="H289">
        <v>341.9</v>
      </c>
      <c r="I289" s="1">
        <f>Table1__2[[#This Row],[Housing]]+Table1__2[[#This Row],[Household goods and services]]</f>
        <v>307.7</v>
      </c>
      <c r="J289">
        <v>156.80000000000001</v>
      </c>
    </row>
    <row r="290" spans="1:10">
      <c r="A290" t="s">
        <v>30</v>
      </c>
      <c r="B290">
        <v>2021</v>
      </c>
      <c r="C290" t="s">
        <v>37</v>
      </c>
      <c r="D290">
        <v>2049.5</v>
      </c>
      <c r="E290">
        <v>156</v>
      </c>
      <c r="F290">
        <v>151.69999999999999</v>
      </c>
      <c r="G290">
        <v>1118.3000000000002</v>
      </c>
      <c r="H290">
        <v>344.8</v>
      </c>
      <c r="I290" s="1">
        <f>Table1__2[[#This Row],[Housing]]+Table1__2[[#This Row],[Household goods and services]]</f>
        <v>294.06</v>
      </c>
      <c r="J290">
        <v>157.6</v>
      </c>
    </row>
    <row r="291" spans="1:10">
      <c r="A291" t="s">
        <v>33</v>
      </c>
      <c r="B291">
        <v>2021</v>
      </c>
      <c r="C291" t="s">
        <v>37</v>
      </c>
      <c r="D291">
        <v>2089.6</v>
      </c>
      <c r="E291">
        <v>154.9</v>
      </c>
      <c r="F291">
        <v>142.1</v>
      </c>
      <c r="G291">
        <v>1069.3999999999999</v>
      </c>
      <c r="H291">
        <v>344.9</v>
      </c>
      <c r="I291" s="1">
        <f>Table1__2[[#This Row],[Housing]]+Table1__2[[#This Row],[Household goods and services]]</f>
        <v>306.3</v>
      </c>
      <c r="J291">
        <v>158</v>
      </c>
    </row>
    <row r="292" spans="1:10">
      <c r="A292" t="s">
        <v>34</v>
      </c>
      <c r="B292">
        <v>2021</v>
      </c>
      <c r="C292" t="s">
        <v>37</v>
      </c>
      <c r="D292">
        <v>2064.1</v>
      </c>
      <c r="E292">
        <v>155.6</v>
      </c>
      <c r="F292">
        <v>146.6</v>
      </c>
      <c r="G292">
        <v>1095.8</v>
      </c>
      <c r="H292">
        <v>343.20000000000005</v>
      </c>
      <c r="I292" s="1">
        <f>Table1__2[[#This Row],[Housing]]+Table1__2[[#This Row],[Household goods and services]]</f>
        <v>310.70000000000005</v>
      </c>
      <c r="J292">
        <v>157.80000000000001</v>
      </c>
    </row>
    <row r="293" spans="1:10">
      <c r="A293" t="s">
        <v>30</v>
      </c>
      <c r="B293">
        <v>2021</v>
      </c>
      <c r="C293" t="s">
        <v>38</v>
      </c>
      <c r="D293">
        <v>2095.2999999999997</v>
      </c>
      <c r="E293">
        <v>161.69999999999999</v>
      </c>
      <c r="F293">
        <v>153.19999999999999</v>
      </c>
      <c r="G293">
        <v>1146.4000000000001</v>
      </c>
      <c r="H293">
        <v>350.7</v>
      </c>
      <c r="I293" s="1">
        <f>Table1__2[[#This Row],[Housing]]+Table1__2[[#This Row],[Household goods and services]]</f>
        <v>294.06</v>
      </c>
      <c r="J293">
        <v>161.1</v>
      </c>
    </row>
    <row r="294" spans="1:10">
      <c r="A294" t="s">
        <v>33</v>
      </c>
      <c r="B294">
        <v>2021</v>
      </c>
      <c r="C294" t="s">
        <v>38</v>
      </c>
      <c r="D294">
        <v>2124.7000000000003</v>
      </c>
      <c r="E294">
        <v>155.5</v>
      </c>
      <c r="F294">
        <v>145</v>
      </c>
      <c r="G294">
        <v>1077.8999999999999</v>
      </c>
      <c r="H294">
        <v>350.5</v>
      </c>
      <c r="I294" s="1">
        <f>Table1__2[[#This Row],[Housing]]+Table1__2[[#This Row],[Household goods and services]]</f>
        <v>307.10000000000002</v>
      </c>
      <c r="J294">
        <v>159.5</v>
      </c>
    </row>
    <row r="295" spans="1:10">
      <c r="A295" t="s">
        <v>34</v>
      </c>
      <c r="B295">
        <v>2021</v>
      </c>
      <c r="C295" t="s">
        <v>38</v>
      </c>
      <c r="D295">
        <v>2105.7000000000003</v>
      </c>
      <c r="E295">
        <v>159.4</v>
      </c>
      <c r="F295">
        <v>148.9</v>
      </c>
      <c r="G295">
        <v>1115.6999999999998</v>
      </c>
      <c r="H295">
        <v>348.70000000000005</v>
      </c>
      <c r="I295" s="1">
        <f>Table1__2[[#This Row],[Housing]]+Table1__2[[#This Row],[Household goods and services]]</f>
        <v>311.10000000000002</v>
      </c>
      <c r="J295">
        <v>160.4</v>
      </c>
    </row>
    <row r="296" spans="1:10">
      <c r="A296" t="s">
        <v>30</v>
      </c>
      <c r="B296">
        <v>2021</v>
      </c>
      <c r="C296" t="s">
        <v>39</v>
      </c>
      <c r="D296">
        <v>2122.6</v>
      </c>
      <c r="E296">
        <v>162.1</v>
      </c>
      <c r="F296">
        <v>154.19999999999999</v>
      </c>
      <c r="G296">
        <v>1146.0999999999999</v>
      </c>
      <c r="H296">
        <v>350.6</v>
      </c>
      <c r="I296" s="1">
        <f>Table1__2[[#This Row],[Housing]]+Table1__2[[#This Row],[Household goods and services]]</f>
        <v>294.76</v>
      </c>
      <c r="J296">
        <v>162.1</v>
      </c>
    </row>
    <row r="297" spans="1:10">
      <c r="A297" t="s">
        <v>33</v>
      </c>
      <c r="B297">
        <v>2021</v>
      </c>
      <c r="C297" t="s">
        <v>39</v>
      </c>
      <c r="D297">
        <v>2154.1999999999998</v>
      </c>
      <c r="E297">
        <v>156.1</v>
      </c>
      <c r="F297">
        <v>147.5</v>
      </c>
      <c r="G297">
        <v>1080.1999999999998</v>
      </c>
      <c r="H297">
        <v>349</v>
      </c>
      <c r="I297" s="1">
        <f>Table1__2[[#This Row],[Housing]]+Table1__2[[#This Row],[Household goods and services]]</f>
        <v>309</v>
      </c>
      <c r="J297">
        <v>160.4</v>
      </c>
    </row>
    <row r="298" spans="1:10">
      <c r="A298" t="s">
        <v>34</v>
      </c>
      <c r="B298">
        <v>2021</v>
      </c>
      <c r="C298" t="s">
        <v>39</v>
      </c>
      <c r="D298">
        <v>2133.9</v>
      </c>
      <c r="E298">
        <v>159.80000000000001</v>
      </c>
      <c r="F298">
        <v>150.69999999999999</v>
      </c>
      <c r="G298">
        <v>1116.4000000000001</v>
      </c>
      <c r="H298">
        <v>348.4</v>
      </c>
      <c r="I298" s="1">
        <f>Table1__2[[#This Row],[Housing]]+Table1__2[[#This Row],[Household goods and services]]</f>
        <v>313.20000000000005</v>
      </c>
      <c r="J298">
        <v>161.30000000000001</v>
      </c>
    </row>
    <row r="299" spans="1:10">
      <c r="A299" t="s">
        <v>30</v>
      </c>
      <c r="B299">
        <v>2021</v>
      </c>
      <c r="C299" t="s">
        <v>40</v>
      </c>
      <c r="D299">
        <v>2132.4</v>
      </c>
      <c r="E299">
        <v>162.5</v>
      </c>
      <c r="F299">
        <v>157.1</v>
      </c>
      <c r="G299">
        <v>1151.1000000000001</v>
      </c>
      <c r="H299">
        <v>352.5</v>
      </c>
      <c r="I299" s="1">
        <f>Table1__2[[#This Row],[Housing]]+Table1__2[[#This Row],[Household goods and services]]</f>
        <v>298.06</v>
      </c>
      <c r="J299">
        <v>163.19999999999999</v>
      </c>
    </row>
    <row r="300" spans="1:10">
      <c r="A300" t="s">
        <v>33</v>
      </c>
      <c r="B300">
        <v>2021</v>
      </c>
      <c r="C300" t="s">
        <v>40</v>
      </c>
      <c r="D300">
        <v>2171.8000000000002</v>
      </c>
      <c r="E300">
        <v>157.69999999999999</v>
      </c>
      <c r="F300">
        <v>149.5</v>
      </c>
      <c r="G300">
        <v>1087.8999999999999</v>
      </c>
      <c r="H300">
        <v>350.5</v>
      </c>
      <c r="I300" s="1">
        <f>Table1__2[[#This Row],[Housing]]+Table1__2[[#This Row],[Household goods and services]]</f>
        <v>311.7</v>
      </c>
      <c r="J300">
        <v>161.80000000000001</v>
      </c>
    </row>
    <row r="301" spans="1:10">
      <c r="A301" t="s">
        <v>34</v>
      </c>
      <c r="B301">
        <v>2021</v>
      </c>
      <c r="C301" t="s">
        <v>40</v>
      </c>
      <c r="D301">
        <v>2147</v>
      </c>
      <c r="E301">
        <v>160.69999999999999</v>
      </c>
      <c r="F301">
        <v>153.1</v>
      </c>
      <c r="G301">
        <v>1122.8999999999999</v>
      </c>
      <c r="H301">
        <v>350.2</v>
      </c>
      <c r="I301" s="1">
        <f>Table1__2[[#This Row],[Housing]]+Table1__2[[#This Row],[Household goods and services]]</f>
        <v>316.29999999999995</v>
      </c>
      <c r="J301">
        <v>162.5</v>
      </c>
    </row>
    <row r="302" spans="1:10">
      <c r="A302" t="s">
        <v>30</v>
      </c>
      <c r="B302">
        <v>2021</v>
      </c>
      <c r="C302" t="s">
        <v>41</v>
      </c>
      <c r="D302">
        <v>2130.8000000000002</v>
      </c>
      <c r="E302">
        <v>163.1</v>
      </c>
      <c r="F302">
        <v>157.69999999999999</v>
      </c>
      <c r="G302">
        <v>1155.9000000000001</v>
      </c>
      <c r="H302">
        <v>353.5</v>
      </c>
      <c r="I302" s="1">
        <f>Table1__2[[#This Row],[Housing]]+Table1__2[[#This Row],[Household goods and services]]</f>
        <v>298.45999999999998</v>
      </c>
      <c r="J302">
        <v>163.6</v>
      </c>
    </row>
    <row r="303" spans="1:10">
      <c r="A303" t="s">
        <v>33</v>
      </c>
      <c r="B303">
        <v>2021</v>
      </c>
      <c r="C303" t="s">
        <v>41</v>
      </c>
      <c r="D303">
        <v>2157.9</v>
      </c>
      <c r="E303">
        <v>160.69999999999999</v>
      </c>
      <c r="F303">
        <v>150.4</v>
      </c>
      <c r="G303">
        <v>1097.2</v>
      </c>
      <c r="H303">
        <v>352.5</v>
      </c>
      <c r="I303" s="1">
        <f>Table1__2[[#This Row],[Housing]]+Table1__2[[#This Row],[Household goods and services]]</f>
        <v>310.3</v>
      </c>
      <c r="J303">
        <v>162.30000000000001</v>
      </c>
    </row>
    <row r="304" spans="1:10">
      <c r="A304" t="s">
        <v>34</v>
      </c>
      <c r="B304">
        <v>2021</v>
      </c>
      <c r="C304" t="s">
        <v>41</v>
      </c>
      <c r="D304">
        <v>2142</v>
      </c>
      <c r="E304">
        <v>162.6</v>
      </c>
      <c r="F304">
        <v>154</v>
      </c>
      <c r="G304">
        <v>1132.8</v>
      </c>
      <c r="H304">
        <v>352.1</v>
      </c>
      <c r="I304" s="1">
        <f>Table1__2[[#This Row],[Housing]]+Table1__2[[#This Row],[Household goods and services]]</f>
        <v>315.3</v>
      </c>
      <c r="J304">
        <v>163.19999999999999</v>
      </c>
    </row>
    <row r="305" spans="1:10">
      <c r="A305" t="s">
        <v>30</v>
      </c>
      <c r="B305">
        <v>2021</v>
      </c>
      <c r="C305" t="s">
        <v>42</v>
      </c>
      <c r="D305">
        <v>2133.6</v>
      </c>
      <c r="E305">
        <v>163.69999999999999</v>
      </c>
      <c r="F305">
        <v>157.80000000000001</v>
      </c>
      <c r="G305">
        <v>1161.6999999999998</v>
      </c>
      <c r="H305">
        <v>354.3</v>
      </c>
      <c r="I305" s="1">
        <f>Table1__2[[#This Row],[Housing]]+Table1__2[[#This Row],[Household goods and services]]</f>
        <v>299.56</v>
      </c>
      <c r="J305">
        <v>164</v>
      </c>
    </row>
    <row r="306" spans="1:10">
      <c r="A306" t="s">
        <v>33</v>
      </c>
      <c r="B306">
        <v>2021</v>
      </c>
      <c r="C306" t="s">
        <v>42</v>
      </c>
      <c r="D306">
        <v>2157.9</v>
      </c>
      <c r="E306">
        <v>160.80000000000001</v>
      </c>
      <c r="F306">
        <v>150.5</v>
      </c>
      <c r="G306">
        <v>1097.4000000000001</v>
      </c>
      <c r="H306">
        <v>352.5</v>
      </c>
      <c r="I306" s="1">
        <f>Table1__2[[#This Row],[Housing]]+Table1__2[[#This Row],[Household goods and services]]</f>
        <v>312.2</v>
      </c>
      <c r="J306">
        <v>162.30000000000001</v>
      </c>
    </row>
    <row r="307" spans="1:10">
      <c r="A307" t="s">
        <v>34</v>
      </c>
      <c r="B307">
        <v>2021</v>
      </c>
      <c r="C307" t="s">
        <v>42</v>
      </c>
      <c r="D307">
        <v>2142</v>
      </c>
      <c r="E307">
        <v>162.6</v>
      </c>
      <c r="F307">
        <v>154</v>
      </c>
      <c r="G307">
        <v>1133</v>
      </c>
      <c r="H307">
        <v>352.1</v>
      </c>
      <c r="I307" s="1">
        <f>Table1__2[[#This Row],[Housing]]+Table1__2[[#This Row],[Household goods and services]]</f>
        <v>317.3</v>
      </c>
      <c r="J307">
        <v>163.19999999999999</v>
      </c>
    </row>
    <row r="308" spans="1:10">
      <c r="A308" t="s">
        <v>30</v>
      </c>
      <c r="B308">
        <v>2021</v>
      </c>
      <c r="C308" t="s">
        <v>43</v>
      </c>
      <c r="D308">
        <v>2164.1999999999998</v>
      </c>
      <c r="E308">
        <v>165.5</v>
      </c>
      <c r="F308">
        <v>159.5</v>
      </c>
      <c r="G308">
        <v>1167.8</v>
      </c>
      <c r="H308">
        <v>355.9</v>
      </c>
      <c r="I308" s="1">
        <f>Table1__2[[#This Row],[Housing]]+Table1__2[[#This Row],[Household goods and services]]</f>
        <v>300.15999999999997</v>
      </c>
      <c r="J308">
        <v>166.3</v>
      </c>
    </row>
    <row r="309" spans="1:10">
      <c r="A309" t="s">
        <v>33</v>
      </c>
      <c r="B309">
        <v>2021</v>
      </c>
      <c r="C309" t="s">
        <v>43</v>
      </c>
      <c r="D309">
        <v>2198.4000000000005</v>
      </c>
      <c r="E309">
        <v>162.19999999999999</v>
      </c>
      <c r="F309">
        <v>152.19999999999999</v>
      </c>
      <c r="G309">
        <v>1102.7</v>
      </c>
      <c r="H309">
        <v>354</v>
      </c>
      <c r="I309" s="1">
        <f>Table1__2[[#This Row],[Housing]]+Table1__2[[#This Row],[Household goods and services]]</f>
        <v>315.29999999999995</v>
      </c>
      <c r="J309">
        <v>164.6</v>
      </c>
    </row>
    <row r="310" spans="1:10">
      <c r="A310" t="s">
        <v>34</v>
      </c>
      <c r="B310">
        <v>2021</v>
      </c>
      <c r="C310" t="s">
        <v>43</v>
      </c>
      <c r="D310">
        <v>2175.5</v>
      </c>
      <c r="E310">
        <v>164.2</v>
      </c>
      <c r="F310">
        <v>155.69999999999999</v>
      </c>
      <c r="G310">
        <v>1138.7</v>
      </c>
      <c r="H310">
        <v>353.7</v>
      </c>
      <c r="I310" s="1">
        <f>Table1__2[[#This Row],[Housing]]+Table1__2[[#This Row],[Household goods and services]]</f>
        <v>319.60000000000002</v>
      </c>
      <c r="J310">
        <v>165.5</v>
      </c>
    </row>
    <row r="311" spans="1:10">
      <c r="A311" t="s">
        <v>30</v>
      </c>
      <c r="B311">
        <v>2021</v>
      </c>
      <c r="C311" t="s">
        <v>45</v>
      </c>
      <c r="D311">
        <v>2182</v>
      </c>
      <c r="E311">
        <v>165.3</v>
      </c>
      <c r="F311">
        <v>158.9</v>
      </c>
      <c r="G311">
        <v>1175.1000000000001</v>
      </c>
      <c r="H311">
        <v>356.6</v>
      </c>
      <c r="I311" s="1">
        <f>Table1__2[[#This Row],[Housing]]+Table1__2[[#This Row],[Household goods and services]]</f>
        <v>300.56</v>
      </c>
      <c r="J311">
        <v>167.6</v>
      </c>
    </row>
    <row r="312" spans="1:10">
      <c r="A312" t="s">
        <v>33</v>
      </c>
      <c r="B312">
        <v>2021</v>
      </c>
      <c r="C312" t="s">
        <v>45</v>
      </c>
      <c r="D312">
        <v>2217.8999999999996</v>
      </c>
      <c r="E312">
        <v>161.6</v>
      </c>
      <c r="F312">
        <v>151.19999999999999</v>
      </c>
      <c r="G312">
        <v>1110.8</v>
      </c>
      <c r="H312">
        <v>354.3</v>
      </c>
      <c r="I312" s="1">
        <f>Table1__2[[#This Row],[Housing]]+Table1__2[[#This Row],[Household goods and services]]</f>
        <v>315.39999999999998</v>
      </c>
      <c r="J312">
        <v>165.6</v>
      </c>
    </row>
    <row r="313" spans="1:10">
      <c r="A313" t="s">
        <v>34</v>
      </c>
      <c r="B313">
        <v>2021</v>
      </c>
      <c r="C313" t="s">
        <v>45</v>
      </c>
      <c r="D313">
        <v>2194.1</v>
      </c>
      <c r="E313">
        <v>163.9</v>
      </c>
      <c r="F313">
        <v>154.80000000000001</v>
      </c>
      <c r="G313">
        <v>1146.6000000000001</v>
      </c>
      <c r="H313">
        <v>354.3</v>
      </c>
      <c r="I313" s="1">
        <f>Table1__2[[#This Row],[Housing]]+Table1__2[[#This Row],[Household goods and services]]</f>
        <v>319.60000000000002</v>
      </c>
      <c r="J313">
        <v>166.7</v>
      </c>
    </row>
    <row r="314" spans="1:10">
      <c r="A314" t="s">
        <v>30</v>
      </c>
      <c r="B314">
        <v>2021</v>
      </c>
      <c r="C314" t="s">
        <v>46</v>
      </c>
      <c r="D314">
        <v>2168.1999999999998</v>
      </c>
      <c r="E314">
        <v>165.6</v>
      </c>
      <c r="F314">
        <v>160.1</v>
      </c>
      <c r="G314">
        <v>1181.3</v>
      </c>
      <c r="H314">
        <v>356.8</v>
      </c>
      <c r="I314" s="1">
        <f>Table1__2[[#This Row],[Housing]]+Table1__2[[#This Row],[Household goods and services]]</f>
        <v>301.26</v>
      </c>
      <c r="J314">
        <v>167</v>
      </c>
    </row>
    <row r="315" spans="1:10">
      <c r="A315" t="s">
        <v>33</v>
      </c>
      <c r="B315">
        <v>2021</v>
      </c>
      <c r="C315" t="s">
        <v>46</v>
      </c>
      <c r="D315">
        <v>2206.3000000000002</v>
      </c>
      <c r="E315">
        <v>161.69999999999999</v>
      </c>
      <c r="F315">
        <v>151.80000000000001</v>
      </c>
      <c r="G315">
        <v>1116.3999999999999</v>
      </c>
      <c r="H315">
        <v>354.6</v>
      </c>
      <c r="I315" s="1">
        <f>Table1__2[[#This Row],[Housing]]+Table1__2[[#This Row],[Household goods and services]]</f>
        <v>317.89999999999998</v>
      </c>
      <c r="J315">
        <v>165.2</v>
      </c>
    </row>
    <row r="316" spans="1:10">
      <c r="A316" t="s">
        <v>34</v>
      </c>
      <c r="B316">
        <v>2021</v>
      </c>
      <c r="C316" t="s">
        <v>46</v>
      </c>
      <c r="D316">
        <v>2180.9</v>
      </c>
      <c r="E316">
        <v>164.1</v>
      </c>
      <c r="F316">
        <v>155.69999999999999</v>
      </c>
      <c r="G316">
        <v>1152.4000000000001</v>
      </c>
      <c r="H316">
        <v>354.4</v>
      </c>
      <c r="I316" s="1">
        <f>Table1__2[[#This Row],[Housing]]+Table1__2[[#This Row],[Household goods and services]]</f>
        <v>322</v>
      </c>
      <c r="J316">
        <v>166.2</v>
      </c>
    </row>
    <row r="317" spans="1:10">
      <c r="A317" t="s">
        <v>30</v>
      </c>
      <c r="B317">
        <v>2022</v>
      </c>
      <c r="C317" t="s">
        <v>31</v>
      </c>
      <c r="D317">
        <v>2153</v>
      </c>
      <c r="E317">
        <v>165.8</v>
      </c>
      <c r="F317">
        <v>160.80000000000001</v>
      </c>
      <c r="G317">
        <v>1187.9000000000001</v>
      </c>
      <c r="H317">
        <v>357.29999999999995</v>
      </c>
      <c r="I317" s="1">
        <f>Table1__2[[#This Row],[Housing]]+Table1__2[[#This Row],[Household goods and services]]</f>
        <v>302.15999999999997</v>
      </c>
      <c r="J317">
        <v>166.4</v>
      </c>
    </row>
    <row r="318" spans="1:10">
      <c r="A318" t="s">
        <v>33</v>
      </c>
      <c r="B318">
        <v>2022</v>
      </c>
      <c r="C318" t="s">
        <v>31</v>
      </c>
      <c r="D318">
        <v>2186.6999999999998</v>
      </c>
      <c r="E318">
        <v>161.6</v>
      </c>
      <c r="F318">
        <v>152.69999999999999</v>
      </c>
      <c r="G318">
        <v>1123.7</v>
      </c>
      <c r="H318">
        <v>355</v>
      </c>
      <c r="I318" s="1">
        <f>Table1__2[[#This Row],[Housing]]+Table1__2[[#This Row],[Household goods and services]]</f>
        <v>319.39999999999998</v>
      </c>
      <c r="J318">
        <v>165</v>
      </c>
    </row>
    <row r="319" spans="1:10">
      <c r="A319" t="s">
        <v>34</v>
      </c>
      <c r="B319">
        <v>2022</v>
      </c>
      <c r="C319" t="s">
        <v>31</v>
      </c>
      <c r="D319">
        <v>2164.1999999999998</v>
      </c>
      <c r="E319">
        <v>164.2</v>
      </c>
      <c r="F319">
        <v>156.5</v>
      </c>
      <c r="G319">
        <v>1159.4000000000001</v>
      </c>
      <c r="H319">
        <v>354.9</v>
      </c>
      <c r="I319" s="1">
        <f>Table1__2[[#This Row],[Housing]]+Table1__2[[#This Row],[Household goods and services]]</f>
        <v>323.5</v>
      </c>
      <c r="J319">
        <v>165.7</v>
      </c>
    </row>
    <row r="320" spans="1:10">
      <c r="A320" t="s">
        <v>30</v>
      </c>
      <c r="B320">
        <v>2022</v>
      </c>
      <c r="C320" t="s">
        <v>35</v>
      </c>
      <c r="D320">
        <v>2150.4</v>
      </c>
      <c r="E320">
        <v>167.4</v>
      </c>
      <c r="F320">
        <v>161.19999999999999</v>
      </c>
      <c r="G320">
        <v>1194.3999999999999</v>
      </c>
      <c r="H320">
        <v>358.8</v>
      </c>
      <c r="I320" s="1">
        <f>Table1__2[[#This Row],[Housing]]+Table1__2[[#This Row],[Household goods and services]]</f>
        <v>303.15999999999997</v>
      </c>
      <c r="J320">
        <v>166.7</v>
      </c>
    </row>
    <row r="321" spans="1:10">
      <c r="A321" t="s">
        <v>33</v>
      </c>
      <c r="B321">
        <v>2022</v>
      </c>
      <c r="C321" t="s">
        <v>35</v>
      </c>
      <c r="D321">
        <v>2183.5</v>
      </c>
      <c r="E321">
        <v>163</v>
      </c>
      <c r="F321">
        <v>153.1</v>
      </c>
      <c r="G321">
        <v>1132.4000000000001</v>
      </c>
      <c r="H321">
        <v>355.9</v>
      </c>
      <c r="I321" s="1">
        <f>Table1__2[[#This Row],[Housing]]+Table1__2[[#This Row],[Household goods and services]]</f>
        <v>319.39999999999998</v>
      </c>
      <c r="J321">
        <v>165.5</v>
      </c>
    </row>
    <row r="322" spans="1:10">
      <c r="A322" t="s">
        <v>34</v>
      </c>
      <c r="B322">
        <v>2022</v>
      </c>
      <c r="C322" t="s">
        <v>35</v>
      </c>
      <c r="D322">
        <v>2161.2000000000003</v>
      </c>
      <c r="E322">
        <v>165.7</v>
      </c>
      <c r="F322">
        <v>156.9</v>
      </c>
      <c r="G322">
        <v>1166.8999999999999</v>
      </c>
      <c r="H322">
        <v>356.3</v>
      </c>
      <c r="I322" s="1">
        <f>Table1__2[[#This Row],[Housing]]+Table1__2[[#This Row],[Household goods and services]]</f>
        <v>323.60000000000002</v>
      </c>
      <c r="J322">
        <v>166.1</v>
      </c>
    </row>
    <row r="323" spans="1:10">
      <c r="A323" t="s">
        <v>30</v>
      </c>
      <c r="B323">
        <v>2022</v>
      </c>
      <c r="C323" t="s">
        <v>36</v>
      </c>
      <c r="D323">
        <v>2179.1000000000004</v>
      </c>
      <c r="E323">
        <v>168.9</v>
      </c>
      <c r="F323">
        <v>162</v>
      </c>
      <c r="G323">
        <v>1204.3</v>
      </c>
      <c r="H323">
        <v>360.6</v>
      </c>
      <c r="I323" s="1">
        <f>Table1__2[[#This Row],[Housing]]+Table1__2[[#This Row],[Household goods and services]]</f>
        <v>304.15999999999997</v>
      </c>
      <c r="J323">
        <v>168.7</v>
      </c>
    </row>
    <row r="324" spans="1:10">
      <c r="A324" t="s">
        <v>33</v>
      </c>
      <c r="B324">
        <v>2022</v>
      </c>
      <c r="C324" t="s">
        <v>36</v>
      </c>
      <c r="D324">
        <v>2196.3000000000002</v>
      </c>
      <c r="E324">
        <v>164.5</v>
      </c>
      <c r="F324">
        <v>154.19999999999999</v>
      </c>
      <c r="G324">
        <v>1143.1000000000001</v>
      </c>
      <c r="H324">
        <v>358.1</v>
      </c>
      <c r="I324" s="1">
        <f>Table1__2[[#This Row],[Housing]]+Table1__2[[#This Row],[Household goods and services]]</f>
        <v>321.3</v>
      </c>
      <c r="J324">
        <v>166.5</v>
      </c>
    </row>
    <row r="325" spans="1:10">
      <c r="A325" t="s">
        <v>34</v>
      </c>
      <c r="B325">
        <v>2022</v>
      </c>
      <c r="C325" t="s">
        <v>36</v>
      </c>
      <c r="D325">
        <v>2184.2000000000003</v>
      </c>
      <c r="E325">
        <v>167.2</v>
      </c>
      <c r="F325">
        <v>157.9</v>
      </c>
      <c r="G325">
        <v>1177.3000000000002</v>
      </c>
      <c r="H325">
        <v>358.29999999999995</v>
      </c>
      <c r="I325" s="1">
        <f>Table1__2[[#This Row],[Housing]]+Table1__2[[#This Row],[Household goods and services]]</f>
        <v>325.60000000000002</v>
      </c>
      <c r="J325">
        <v>167.7</v>
      </c>
    </row>
    <row r="326" spans="1:10">
      <c r="A326" t="s">
        <v>30</v>
      </c>
      <c r="B326">
        <v>2022</v>
      </c>
      <c r="C326" t="s">
        <v>37</v>
      </c>
      <c r="D326">
        <v>2206.6</v>
      </c>
      <c r="E326">
        <v>173.3</v>
      </c>
      <c r="F326">
        <v>166.2</v>
      </c>
      <c r="G326">
        <v>1213.8</v>
      </c>
      <c r="H326">
        <v>363</v>
      </c>
      <c r="I326" s="1">
        <f>Table1__2[[#This Row],[Housing]]+Table1__2[[#This Row],[Household goods and services]]</f>
        <v>304.95999999999998</v>
      </c>
      <c r="J326">
        <v>170.8</v>
      </c>
    </row>
    <row r="327" spans="1:10">
      <c r="A327" t="s">
        <v>33</v>
      </c>
      <c r="B327">
        <v>2022</v>
      </c>
      <c r="C327" t="s">
        <v>37</v>
      </c>
      <c r="D327">
        <v>2230.4</v>
      </c>
      <c r="E327">
        <v>170.5</v>
      </c>
      <c r="F327">
        <v>159.30000000000001</v>
      </c>
      <c r="G327">
        <v>1152.8000000000002</v>
      </c>
      <c r="H327">
        <v>360.2</v>
      </c>
      <c r="I327" s="1">
        <f>Table1__2[[#This Row],[Housing]]+Table1__2[[#This Row],[Household goods and services]]</f>
        <v>322.89999999999998</v>
      </c>
      <c r="J327">
        <v>169.2</v>
      </c>
    </row>
    <row r="328" spans="1:10">
      <c r="A328" t="s">
        <v>34</v>
      </c>
      <c r="B328">
        <v>2022</v>
      </c>
      <c r="C328" t="s">
        <v>37</v>
      </c>
      <c r="D328">
        <v>2214.3000000000002</v>
      </c>
      <c r="E328">
        <v>172.2</v>
      </c>
      <c r="F328">
        <v>162.6</v>
      </c>
      <c r="G328">
        <v>1187.3</v>
      </c>
      <c r="H328">
        <v>360.70000000000005</v>
      </c>
      <c r="I328" s="1">
        <f>Table1__2[[#This Row],[Housing]]+Table1__2[[#This Row],[Household goods and services]]</f>
        <v>327.3</v>
      </c>
      <c r="J328">
        <v>170.1</v>
      </c>
    </row>
    <row r="329" spans="1:10">
      <c r="A329" t="s">
        <v>30</v>
      </c>
      <c r="B329">
        <v>2022</v>
      </c>
      <c r="C329" t="s">
        <v>38</v>
      </c>
      <c r="D329">
        <v>2226.8000000000002</v>
      </c>
      <c r="E329">
        <v>175.3</v>
      </c>
      <c r="F329">
        <v>167.1</v>
      </c>
      <c r="G329">
        <v>1221.0999999999999</v>
      </c>
      <c r="H329">
        <v>363.8</v>
      </c>
      <c r="I329" s="1">
        <f>Table1__2[[#This Row],[Housing]]+Table1__2[[#This Row],[Household goods and services]]</f>
        <v>305.76</v>
      </c>
      <c r="J329">
        <v>172.5</v>
      </c>
    </row>
    <row r="330" spans="1:10">
      <c r="A330" t="s">
        <v>33</v>
      </c>
      <c r="B330">
        <v>2022</v>
      </c>
      <c r="C330" t="s">
        <v>38</v>
      </c>
      <c r="D330">
        <v>2262.2000000000003</v>
      </c>
      <c r="E330">
        <v>173.5</v>
      </c>
      <c r="F330">
        <v>159.4</v>
      </c>
      <c r="G330">
        <v>1160.3999999999999</v>
      </c>
      <c r="H330">
        <v>361.3</v>
      </c>
      <c r="I330" s="1">
        <f>Table1__2[[#This Row],[Housing]]+Table1__2[[#This Row],[Household goods and services]]</f>
        <v>323.89999999999998</v>
      </c>
      <c r="J330">
        <v>170.8</v>
      </c>
    </row>
    <row r="331" spans="1:10">
      <c r="A331" t="s">
        <v>34</v>
      </c>
      <c r="B331">
        <v>2022</v>
      </c>
      <c r="C331" t="s">
        <v>38</v>
      </c>
      <c r="D331">
        <v>2238.9000000000005</v>
      </c>
      <c r="E331">
        <v>174.6</v>
      </c>
      <c r="F331">
        <v>163</v>
      </c>
      <c r="G331">
        <v>1194.8000000000002</v>
      </c>
      <c r="H331">
        <v>361.6</v>
      </c>
      <c r="I331" s="1">
        <f>Table1__2[[#This Row],[Housing]]+Table1__2[[#This Row],[Household goods and services]]</f>
        <v>328.1</v>
      </c>
      <c r="J331">
        <v>171.7</v>
      </c>
    </row>
    <row r="332" spans="1:10">
      <c r="A332" t="s">
        <v>30</v>
      </c>
      <c r="B332">
        <v>2022</v>
      </c>
      <c r="C332" t="s">
        <v>39</v>
      </c>
      <c r="D332">
        <v>2248.3000000000002</v>
      </c>
      <c r="E332">
        <v>176.7</v>
      </c>
      <c r="F332">
        <v>165.5</v>
      </c>
      <c r="G332">
        <v>1228.0999999999999</v>
      </c>
      <c r="H332">
        <v>363.9</v>
      </c>
      <c r="I332" s="1">
        <f>Table1__2[[#This Row],[Housing]]+Table1__2[[#This Row],[Household goods and services]]</f>
        <v>306.95999999999998</v>
      </c>
      <c r="J332">
        <v>173.6</v>
      </c>
    </row>
    <row r="333" spans="1:10">
      <c r="A333" t="s">
        <v>33</v>
      </c>
      <c r="B333">
        <v>2022</v>
      </c>
      <c r="C333" t="s">
        <v>39</v>
      </c>
      <c r="D333">
        <v>2287.5</v>
      </c>
      <c r="E333">
        <v>174.9</v>
      </c>
      <c r="F333">
        <v>157.19999999999999</v>
      </c>
      <c r="G333">
        <v>1169.0999999999999</v>
      </c>
      <c r="H333">
        <v>362.1</v>
      </c>
      <c r="I333" s="1">
        <f>Table1__2[[#This Row],[Housing]]+Table1__2[[#This Row],[Household goods and services]]</f>
        <v>326.8</v>
      </c>
      <c r="J333">
        <v>171.4</v>
      </c>
    </row>
    <row r="334" spans="1:10">
      <c r="A334" t="s">
        <v>34</v>
      </c>
      <c r="B334">
        <v>2022</v>
      </c>
      <c r="C334" t="s">
        <v>39</v>
      </c>
      <c r="D334">
        <v>2261.9</v>
      </c>
      <c r="E334">
        <v>176</v>
      </c>
      <c r="F334">
        <v>161.1</v>
      </c>
      <c r="G334">
        <v>1202.6000000000001</v>
      </c>
      <c r="H334">
        <v>361.8</v>
      </c>
      <c r="I334" s="1">
        <f>Table1__2[[#This Row],[Housing]]+Table1__2[[#This Row],[Household goods and services]]</f>
        <v>331</v>
      </c>
      <c r="J334">
        <v>172.6</v>
      </c>
    </row>
    <row r="335" spans="1:10">
      <c r="A335" t="s">
        <v>30</v>
      </c>
      <c r="B335">
        <v>2022</v>
      </c>
      <c r="C335" t="s">
        <v>40</v>
      </c>
      <c r="D335">
        <v>2252.5</v>
      </c>
      <c r="E335">
        <v>179.6</v>
      </c>
      <c r="F335">
        <v>166.3</v>
      </c>
      <c r="G335">
        <v>1235.8</v>
      </c>
      <c r="H335">
        <v>365</v>
      </c>
      <c r="I335" s="1">
        <f>Table1__2[[#This Row],[Housing]]+Table1__2[[#This Row],[Household goods and services]]</f>
        <v>308.15999999999997</v>
      </c>
      <c r="J335">
        <v>174.3</v>
      </c>
    </row>
    <row r="336" spans="1:10">
      <c r="A336" t="s">
        <v>33</v>
      </c>
      <c r="B336">
        <v>2022</v>
      </c>
      <c r="C336" t="s">
        <v>40</v>
      </c>
      <c r="D336">
        <v>2291.6</v>
      </c>
      <c r="E336">
        <v>179.5</v>
      </c>
      <c r="F336">
        <v>157.4</v>
      </c>
      <c r="G336">
        <v>1177.2</v>
      </c>
      <c r="H336">
        <v>363.29999999999995</v>
      </c>
      <c r="I336" s="1">
        <f>Table1__2[[#This Row],[Housing]]+Table1__2[[#This Row],[Household goods and services]]</f>
        <v>328.6</v>
      </c>
      <c r="J336">
        <v>172.3</v>
      </c>
    </row>
    <row r="337" spans="1:10">
      <c r="A337" t="s">
        <v>34</v>
      </c>
      <c r="B337">
        <v>2022</v>
      </c>
      <c r="C337" t="s">
        <v>40</v>
      </c>
      <c r="D337">
        <v>2266.3000000000002</v>
      </c>
      <c r="E337">
        <v>179.6</v>
      </c>
      <c r="F337">
        <v>161.6</v>
      </c>
      <c r="G337">
        <v>1210.4000000000001</v>
      </c>
      <c r="H337">
        <v>363</v>
      </c>
      <c r="I337" s="1">
        <f>Table1__2[[#This Row],[Housing]]+Table1__2[[#This Row],[Household goods and services]]</f>
        <v>332.7</v>
      </c>
      <c r="J337">
        <v>173.4</v>
      </c>
    </row>
    <row r="338" spans="1:10">
      <c r="A338" t="s">
        <v>30</v>
      </c>
      <c r="B338">
        <v>2022</v>
      </c>
      <c r="C338" t="s">
        <v>41</v>
      </c>
      <c r="D338">
        <v>2255.7999999999997</v>
      </c>
      <c r="E338">
        <v>179.1</v>
      </c>
      <c r="F338">
        <v>166.6</v>
      </c>
      <c r="G338">
        <v>1243.4000000000001</v>
      </c>
      <c r="H338">
        <v>366.29999999999995</v>
      </c>
      <c r="I338" s="1">
        <f>Table1__2[[#This Row],[Housing]]+Table1__2[[#This Row],[Household goods and services]]</f>
        <v>309.56</v>
      </c>
      <c r="J338">
        <v>175.3</v>
      </c>
    </row>
    <row r="339" spans="1:10">
      <c r="A339" t="s">
        <v>33</v>
      </c>
      <c r="B339">
        <v>2022</v>
      </c>
      <c r="C339" t="s">
        <v>41</v>
      </c>
      <c r="D339">
        <v>2293.6999999999998</v>
      </c>
      <c r="E339">
        <v>178.4</v>
      </c>
      <c r="F339">
        <v>157.69999999999999</v>
      </c>
      <c r="G339">
        <v>1184.3000000000002</v>
      </c>
      <c r="H339">
        <v>364.1</v>
      </c>
      <c r="I339" s="1">
        <f>Table1__2[[#This Row],[Housing]]+Table1__2[[#This Row],[Household goods and services]]</f>
        <v>328.9</v>
      </c>
      <c r="J339">
        <v>173.1</v>
      </c>
    </row>
    <row r="340" spans="1:10">
      <c r="A340" t="s">
        <v>34</v>
      </c>
      <c r="B340">
        <v>2022</v>
      </c>
      <c r="C340" t="s">
        <v>41</v>
      </c>
      <c r="D340">
        <v>2269.2000000000003</v>
      </c>
      <c r="E340">
        <v>178.8</v>
      </c>
      <c r="F340">
        <v>161.9</v>
      </c>
      <c r="G340">
        <v>1217.9000000000001</v>
      </c>
      <c r="H340">
        <v>364.1</v>
      </c>
      <c r="I340" s="1">
        <f>Table1__2[[#This Row],[Housing]]+Table1__2[[#This Row],[Household goods and services]]</f>
        <v>333.20000000000005</v>
      </c>
      <c r="J340">
        <v>174.3</v>
      </c>
    </row>
    <row r="341" spans="1:10">
      <c r="A341" t="s">
        <v>30</v>
      </c>
      <c r="B341">
        <v>2022</v>
      </c>
      <c r="C341" t="s">
        <v>42</v>
      </c>
      <c r="D341">
        <v>2267.8000000000002</v>
      </c>
      <c r="E341">
        <v>179.7</v>
      </c>
      <c r="F341">
        <v>166.9</v>
      </c>
      <c r="G341">
        <v>1249.7</v>
      </c>
      <c r="H341">
        <v>367.6</v>
      </c>
      <c r="I341" s="1">
        <f>Table1__2[[#This Row],[Housing]]+Table1__2[[#This Row],[Household goods and services]]</f>
        <v>310.56</v>
      </c>
      <c r="J341">
        <v>176.4</v>
      </c>
    </row>
    <row r="342" spans="1:10">
      <c r="A342" t="s">
        <v>33</v>
      </c>
      <c r="B342">
        <v>2022</v>
      </c>
      <c r="C342" t="s">
        <v>42</v>
      </c>
      <c r="D342">
        <v>2306.4</v>
      </c>
      <c r="E342">
        <v>179.2</v>
      </c>
      <c r="F342">
        <v>158.19999999999999</v>
      </c>
      <c r="G342">
        <v>1191.3000000000002</v>
      </c>
      <c r="H342">
        <v>365.79999999999995</v>
      </c>
      <c r="I342" s="1">
        <f>Table1__2[[#This Row],[Housing]]+Table1__2[[#This Row],[Household goods and services]]</f>
        <v>330.9</v>
      </c>
      <c r="J342">
        <v>174.1</v>
      </c>
    </row>
    <row r="343" spans="1:10">
      <c r="A343" t="s">
        <v>34</v>
      </c>
      <c r="B343">
        <v>2022</v>
      </c>
      <c r="C343" t="s">
        <v>42</v>
      </c>
      <c r="D343">
        <v>2280.9</v>
      </c>
      <c r="E343">
        <v>179.5</v>
      </c>
      <c r="F343">
        <v>162.30000000000001</v>
      </c>
      <c r="G343">
        <v>1224.5</v>
      </c>
      <c r="H343">
        <v>365.6</v>
      </c>
      <c r="I343" s="1">
        <f>Table1__2[[#This Row],[Housing]]+Table1__2[[#This Row],[Household goods and services]]</f>
        <v>335.20000000000005</v>
      </c>
      <c r="J343">
        <v>175.3</v>
      </c>
    </row>
    <row r="344" spans="1:10">
      <c r="A344" t="s">
        <v>30</v>
      </c>
      <c r="B344">
        <v>2022</v>
      </c>
      <c r="C344" t="s">
        <v>43</v>
      </c>
      <c r="D344">
        <v>2284.5</v>
      </c>
      <c r="E344">
        <v>180.8</v>
      </c>
      <c r="F344">
        <v>167.4</v>
      </c>
      <c r="G344">
        <v>1256.7</v>
      </c>
      <c r="H344">
        <v>368.8</v>
      </c>
      <c r="I344" s="1">
        <f>Table1__2[[#This Row],[Housing]]+Table1__2[[#This Row],[Household goods and services]]</f>
        <v>311.56</v>
      </c>
      <c r="J344">
        <v>177.9</v>
      </c>
    </row>
    <row r="345" spans="1:10">
      <c r="A345" t="s">
        <v>33</v>
      </c>
      <c r="B345">
        <v>2022</v>
      </c>
      <c r="C345" t="s">
        <v>43</v>
      </c>
      <c r="D345">
        <v>2322.3000000000002</v>
      </c>
      <c r="E345">
        <v>180</v>
      </c>
      <c r="F345">
        <v>158.80000000000001</v>
      </c>
      <c r="G345">
        <v>1196.2</v>
      </c>
      <c r="H345">
        <v>366.9</v>
      </c>
      <c r="I345" s="1">
        <f>Table1__2[[#This Row],[Housing]]+Table1__2[[#This Row],[Household goods and services]]</f>
        <v>333.2</v>
      </c>
      <c r="J345">
        <v>175.3</v>
      </c>
    </row>
    <row r="346" spans="1:10">
      <c r="A346" t="s">
        <v>34</v>
      </c>
      <c r="B346">
        <v>2022</v>
      </c>
      <c r="C346" t="s">
        <v>43</v>
      </c>
      <c r="D346">
        <v>2297.3000000000002</v>
      </c>
      <c r="E346">
        <v>180.5</v>
      </c>
      <c r="F346">
        <v>162.9</v>
      </c>
      <c r="G346">
        <v>1230.6000000000001</v>
      </c>
      <c r="H346">
        <v>366.8</v>
      </c>
      <c r="I346" s="1">
        <f>Table1__2[[#This Row],[Housing]]+Table1__2[[#This Row],[Household goods and services]]</f>
        <v>337.5</v>
      </c>
      <c r="J346">
        <v>176.7</v>
      </c>
    </row>
    <row r="347" spans="1:10">
      <c r="A347" t="s">
        <v>30</v>
      </c>
      <c r="B347">
        <v>2022</v>
      </c>
      <c r="C347" t="s">
        <v>45</v>
      </c>
      <c r="D347">
        <v>2287.6999999999998</v>
      </c>
      <c r="E347">
        <v>181.9</v>
      </c>
      <c r="F347">
        <v>167.5</v>
      </c>
      <c r="G347">
        <v>1262.7000000000003</v>
      </c>
      <c r="H347">
        <v>370.1</v>
      </c>
      <c r="I347" s="1">
        <f>Table1__2[[#This Row],[Housing]]+Table1__2[[#This Row],[Household goods and services]]</f>
        <v>312.86</v>
      </c>
      <c r="J347">
        <v>177.8</v>
      </c>
    </row>
    <row r="348" spans="1:10">
      <c r="A348" t="s">
        <v>33</v>
      </c>
      <c r="B348">
        <v>2022</v>
      </c>
      <c r="C348" t="s">
        <v>45</v>
      </c>
      <c r="D348">
        <v>2314.4</v>
      </c>
      <c r="E348">
        <v>180.3</v>
      </c>
      <c r="F348">
        <v>158.9</v>
      </c>
      <c r="G348">
        <v>1202.7</v>
      </c>
      <c r="H348">
        <v>368</v>
      </c>
      <c r="I348" s="1">
        <f>Table1__2[[#This Row],[Housing]]+Table1__2[[#This Row],[Household goods and services]]</f>
        <v>334.5</v>
      </c>
      <c r="J348">
        <v>174.1</v>
      </c>
    </row>
    <row r="349" spans="1:10">
      <c r="A349" t="s">
        <v>34</v>
      </c>
      <c r="B349">
        <v>2022</v>
      </c>
      <c r="C349" t="s">
        <v>45</v>
      </c>
      <c r="D349">
        <v>2296.8000000000002</v>
      </c>
      <c r="E349">
        <v>181.3</v>
      </c>
      <c r="F349">
        <v>163</v>
      </c>
      <c r="G349">
        <v>1237</v>
      </c>
      <c r="H349">
        <v>368</v>
      </c>
      <c r="I349" s="1">
        <f>Table1__2[[#This Row],[Housing]]+Table1__2[[#This Row],[Household goods and services]]</f>
        <v>339</v>
      </c>
      <c r="J349">
        <v>176.5</v>
      </c>
    </row>
    <row r="350" spans="1:10">
      <c r="A350" t="s">
        <v>30</v>
      </c>
      <c r="B350">
        <v>2022</v>
      </c>
      <c r="C350" t="s">
        <v>46</v>
      </c>
      <c r="D350">
        <v>2277.1</v>
      </c>
      <c r="E350">
        <v>182.8</v>
      </c>
      <c r="F350">
        <v>167.8</v>
      </c>
      <c r="G350">
        <v>1269.5</v>
      </c>
      <c r="H350">
        <v>371.4</v>
      </c>
      <c r="I350" s="1">
        <f>Table1__2[[#This Row],[Housing]]+Table1__2[[#This Row],[Household goods and services]]</f>
        <v>313.65999999999997</v>
      </c>
      <c r="J350">
        <v>177.1</v>
      </c>
    </row>
    <row r="351" spans="1:10">
      <c r="A351" t="s">
        <v>33</v>
      </c>
      <c r="B351">
        <v>2022</v>
      </c>
      <c r="C351" t="s">
        <v>46</v>
      </c>
      <c r="D351">
        <v>2295.7999999999997</v>
      </c>
      <c r="E351">
        <v>180.6</v>
      </c>
      <c r="F351">
        <v>159.4</v>
      </c>
      <c r="G351">
        <v>1210</v>
      </c>
      <c r="H351">
        <v>369.29999999999995</v>
      </c>
      <c r="I351" s="1">
        <f>Table1__2[[#This Row],[Housing]]+Table1__2[[#This Row],[Household goods and services]]</f>
        <v>337.2</v>
      </c>
      <c r="J351">
        <v>174.1</v>
      </c>
    </row>
    <row r="352" spans="1:10">
      <c r="A352" t="s">
        <v>34</v>
      </c>
      <c r="B352">
        <v>2022</v>
      </c>
      <c r="C352" t="s">
        <v>46</v>
      </c>
      <c r="D352">
        <v>2283.4</v>
      </c>
      <c r="E352">
        <v>182</v>
      </c>
      <c r="F352">
        <v>163.4</v>
      </c>
      <c r="G352">
        <v>1243.9000000000001</v>
      </c>
      <c r="H352">
        <v>369.3</v>
      </c>
      <c r="I352" s="1">
        <f>Table1__2[[#This Row],[Housing]]+Table1__2[[#This Row],[Household goods and services]]</f>
        <v>341.6</v>
      </c>
      <c r="J352">
        <v>175.7</v>
      </c>
    </row>
    <row r="353" spans="1:10">
      <c r="A353" t="s">
        <v>30</v>
      </c>
      <c r="B353">
        <v>2023</v>
      </c>
      <c r="C353" t="s">
        <v>31</v>
      </c>
      <c r="D353">
        <v>2283.2000000000003</v>
      </c>
      <c r="E353">
        <v>183.2</v>
      </c>
      <c r="F353">
        <v>168.2</v>
      </c>
      <c r="G353">
        <v>1276.5999999999999</v>
      </c>
      <c r="H353">
        <v>373.4</v>
      </c>
      <c r="I353" s="1">
        <f>Table1__2[[#This Row],[Housing]]+Table1__2[[#This Row],[Household goods and services]]</f>
        <v>314.76</v>
      </c>
      <c r="J353">
        <v>177.8</v>
      </c>
    </row>
    <row r="354" spans="1:10">
      <c r="A354" t="s">
        <v>33</v>
      </c>
      <c r="B354">
        <v>2023</v>
      </c>
      <c r="C354" t="s">
        <v>31</v>
      </c>
      <c r="D354">
        <v>2310.2000000000003</v>
      </c>
      <c r="E354">
        <v>180.1</v>
      </c>
      <c r="F354">
        <v>159.5</v>
      </c>
      <c r="G354">
        <v>1217.5</v>
      </c>
      <c r="H354">
        <v>370.5</v>
      </c>
      <c r="I354" s="1">
        <f>Table1__2[[#This Row],[Housing]]+Table1__2[[#This Row],[Household goods and services]]</f>
        <v>338.70000000000005</v>
      </c>
      <c r="J354">
        <v>174.9</v>
      </c>
    </row>
    <row r="355" spans="1:10">
      <c r="A355" t="s">
        <v>34</v>
      </c>
      <c r="B355">
        <v>2023</v>
      </c>
      <c r="C355" t="s">
        <v>31</v>
      </c>
      <c r="D355">
        <v>2292.6999999999998</v>
      </c>
      <c r="E355">
        <v>182</v>
      </c>
      <c r="F355">
        <v>163.6</v>
      </c>
      <c r="G355">
        <v>1251</v>
      </c>
      <c r="H355">
        <v>371</v>
      </c>
      <c r="I355" s="1">
        <f>Table1__2[[#This Row],[Housing]]+Table1__2[[#This Row],[Household goods and services]]</f>
        <v>343.20000000000005</v>
      </c>
      <c r="J355">
        <v>176.5</v>
      </c>
    </row>
    <row r="356" spans="1:10">
      <c r="A356" t="s">
        <v>30</v>
      </c>
      <c r="B356">
        <v>2023</v>
      </c>
      <c r="C356" t="s">
        <v>35</v>
      </c>
      <c r="D356">
        <v>2265.6999999999998</v>
      </c>
      <c r="E356">
        <v>181.6</v>
      </c>
      <c r="F356">
        <v>169</v>
      </c>
      <c r="G356">
        <v>1285.2</v>
      </c>
      <c r="H356">
        <v>376.20000000000005</v>
      </c>
      <c r="I356" s="1">
        <f>Table1__2[[#This Row],[Housing]]+Table1__2[[#This Row],[Household goods and services]]</f>
        <v>315.65999999999997</v>
      </c>
      <c r="J356">
        <v>178</v>
      </c>
    </row>
    <row r="357" spans="1:10">
      <c r="A357" t="s">
        <v>33</v>
      </c>
      <c r="B357">
        <v>2023</v>
      </c>
      <c r="C357" t="s">
        <v>35</v>
      </c>
      <c r="D357">
        <v>2303.1999999999998</v>
      </c>
      <c r="E357">
        <v>182.8</v>
      </c>
      <c r="F357">
        <v>159.80000000000001</v>
      </c>
      <c r="G357">
        <v>1228.5999999999999</v>
      </c>
      <c r="H357">
        <v>372.7</v>
      </c>
      <c r="I357" s="1">
        <f>Table1__2[[#This Row],[Housing]]+Table1__2[[#This Row],[Household goods and services]]</f>
        <v>338</v>
      </c>
      <c r="J357">
        <v>176.3</v>
      </c>
    </row>
    <row r="358" spans="1:10">
      <c r="A358" t="s">
        <v>34</v>
      </c>
      <c r="B358">
        <v>2023</v>
      </c>
      <c r="C358" t="s">
        <v>35</v>
      </c>
      <c r="D358">
        <v>2279.1</v>
      </c>
      <c r="E358">
        <v>182.1</v>
      </c>
      <c r="F358">
        <v>164.2</v>
      </c>
      <c r="G358">
        <v>1260.7</v>
      </c>
      <c r="H358">
        <v>373.6</v>
      </c>
      <c r="I358" s="1">
        <f>Table1__2[[#This Row],[Housing]]+Table1__2[[#This Row],[Household goods and services]]</f>
        <v>342.79999999999995</v>
      </c>
      <c r="J358">
        <v>177.2</v>
      </c>
    </row>
    <row r="359" spans="1:10">
      <c r="A359" t="s">
        <v>30</v>
      </c>
      <c r="B359">
        <v>2023</v>
      </c>
      <c r="C359" t="s">
        <v>36</v>
      </c>
      <c r="D359">
        <v>2265.8000000000002</v>
      </c>
      <c r="E359">
        <v>181.4</v>
      </c>
      <c r="F359">
        <v>169</v>
      </c>
      <c r="G359">
        <v>1285.2</v>
      </c>
      <c r="H359">
        <v>376.3</v>
      </c>
      <c r="I359" s="1">
        <f>Table1__2[[#This Row],[Housing]]+Table1__2[[#This Row],[Household goods and services]]</f>
        <v>316.45999999999998</v>
      </c>
      <c r="J359">
        <v>178</v>
      </c>
    </row>
    <row r="360" spans="1:10">
      <c r="A360" t="s">
        <v>33</v>
      </c>
      <c r="B360">
        <v>2023</v>
      </c>
      <c r="C360" t="s">
        <v>36</v>
      </c>
      <c r="D360">
        <v>2303.4</v>
      </c>
      <c r="E360">
        <v>182.6</v>
      </c>
      <c r="F360">
        <v>159.80000000000001</v>
      </c>
      <c r="G360">
        <v>1228.5999999999999</v>
      </c>
      <c r="H360">
        <v>372.7</v>
      </c>
      <c r="I360" s="1">
        <f>Table1__2[[#This Row],[Housing]]+Table1__2[[#This Row],[Household goods and services]]</f>
        <v>340.1</v>
      </c>
      <c r="J360">
        <v>176.3</v>
      </c>
    </row>
    <row r="361" spans="1:10">
      <c r="A361" t="s">
        <v>34</v>
      </c>
      <c r="B361">
        <v>2023</v>
      </c>
      <c r="C361" t="s">
        <v>36</v>
      </c>
      <c r="D361">
        <v>2279.1999999999998</v>
      </c>
      <c r="E361">
        <v>181.9</v>
      </c>
      <c r="F361">
        <v>164.2</v>
      </c>
      <c r="G361">
        <v>1260.5999999999999</v>
      </c>
      <c r="H361">
        <v>373.6</v>
      </c>
      <c r="I361" s="1">
        <f>Table1__2[[#This Row],[Housing]]+Table1__2[[#This Row],[Household goods and services]]</f>
        <v>345</v>
      </c>
      <c r="J361">
        <v>177.2</v>
      </c>
    </row>
    <row r="362" spans="1:10">
      <c r="A362" t="s">
        <v>30</v>
      </c>
      <c r="B362">
        <v>2023</v>
      </c>
      <c r="C362" t="s">
        <v>37</v>
      </c>
      <c r="D362">
        <v>2274.1999999999998</v>
      </c>
      <c r="E362">
        <v>181.5</v>
      </c>
      <c r="F362">
        <v>169.4</v>
      </c>
      <c r="G362">
        <v>1291.8000000000002</v>
      </c>
      <c r="H362">
        <v>378.4</v>
      </c>
      <c r="I362" s="1">
        <f>Table1__2[[#This Row],[Housing]]+Table1__2[[#This Row],[Household goods and services]]</f>
        <v>317.86</v>
      </c>
      <c r="J362">
        <v>178.8</v>
      </c>
    </row>
    <row r="363" spans="1:10">
      <c r="A363" t="s">
        <v>33</v>
      </c>
      <c r="B363">
        <v>2023</v>
      </c>
      <c r="C363" t="s">
        <v>37</v>
      </c>
      <c r="D363">
        <v>2317.7000000000003</v>
      </c>
      <c r="E363">
        <v>182.1</v>
      </c>
      <c r="F363">
        <v>160.1</v>
      </c>
      <c r="G363">
        <v>1236.5</v>
      </c>
      <c r="H363">
        <v>374.4</v>
      </c>
      <c r="I363" s="1">
        <f>Table1__2[[#This Row],[Housing]]+Table1__2[[#This Row],[Household goods and services]]</f>
        <v>342.7</v>
      </c>
      <c r="J363">
        <v>177.4</v>
      </c>
    </row>
    <row r="364" spans="1:10">
      <c r="A364" t="s">
        <v>34</v>
      </c>
      <c r="B364">
        <v>2023</v>
      </c>
      <c r="C364" t="s">
        <v>37</v>
      </c>
      <c r="D364">
        <v>2289.6000000000004</v>
      </c>
      <c r="E364">
        <v>181.7</v>
      </c>
      <c r="F364">
        <v>164.5</v>
      </c>
      <c r="G364">
        <v>1267.9000000000001</v>
      </c>
      <c r="H364">
        <v>375.6</v>
      </c>
      <c r="I364" s="1">
        <f>Table1__2[[#This Row],[Housing]]+Table1__2[[#This Row],[Household goods and services]]</f>
        <v>347.7</v>
      </c>
      <c r="J364">
        <v>178.1</v>
      </c>
    </row>
    <row r="365" spans="1:10">
      <c r="A365" t="s">
        <v>30</v>
      </c>
      <c r="B365">
        <v>2023</v>
      </c>
      <c r="C365" t="s">
        <v>38</v>
      </c>
      <c r="D365">
        <v>2290.7000000000007</v>
      </c>
      <c r="E365">
        <v>182.5</v>
      </c>
      <c r="F365">
        <v>169.7</v>
      </c>
      <c r="G365">
        <v>1296.7</v>
      </c>
      <c r="H365">
        <v>379.4</v>
      </c>
      <c r="I365" s="1">
        <f>Table1__2[[#This Row],[Housing]]+Table1__2[[#This Row],[Household goods and services]]</f>
        <v>317.86</v>
      </c>
      <c r="J365">
        <v>179.8</v>
      </c>
    </row>
    <row r="366" spans="1:10">
      <c r="A366" t="s">
        <v>33</v>
      </c>
      <c r="B366">
        <v>2023</v>
      </c>
      <c r="C366" t="s">
        <v>38</v>
      </c>
      <c r="D366">
        <v>2335.1</v>
      </c>
      <c r="E366">
        <v>183.4</v>
      </c>
      <c r="F366">
        <v>160.4</v>
      </c>
      <c r="G366">
        <v>1240.4999999999998</v>
      </c>
      <c r="H366">
        <v>375.79999999999995</v>
      </c>
      <c r="I366" s="1">
        <f>Table1__2[[#This Row],[Housing]]+Table1__2[[#This Row],[Household goods and services]]</f>
        <v>342.7</v>
      </c>
      <c r="J366">
        <v>178.2</v>
      </c>
    </row>
    <row r="367" spans="1:10">
      <c r="A367" t="s">
        <v>34</v>
      </c>
      <c r="B367">
        <v>2023</v>
      </c>
      <c r="C367" t="s">
        <v>38</v>
      </c>
      <c r="D367">
        <v>2306.9</v>
      </c>
      <c r="E367">
        <v>182.8</v>
      </c>
      <c r="F367">
        <v>164.8</v>
      </c>
      <c r="G367">
        <v>1272.3999999999999</v>
      </c>
      <c r="H367">
        <v>376.7</v>
      </c>
      <c r="I367" s="1">
        <f>Table1__2[[#This Row],[Housing]]+Table1__2[[#This Row],[Household goods and services]]</f>
        <v>347.7</v>
      </c>
      <c r="J367">
        <v>179.1</v>
      </c>
    </row>
  </sheetData>
  <mergeCells count="1">
    <mergeCell ref="P2:W2"/>
  </mergeCells>
  <conditionalFormatting sqref="R12:W16 Y17 Y12:A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:W24 Y20:AD2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:X9 R4:W8">
    <cfRule type="colorScale" priority="6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:X17 R12:W16">
    <cfRule type="colorScale" priority="5">
      <colorScale>
        <cfvo type="min"/>
        <cfvo type="max"/>
        <color rgb="FFFCFCFF"/>
        <color rgb="FF63BE7B"/>
      </colorScale>
    </cfRule>
  </conditionalFormatting>
  <conditionalFormatting sqref="R17:X1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5:X25 R20:W24">
    <cfRule type="colorScale" priority="4">
      <colorScale>
        <cfvo type="min"/>
        <cfvo type="max"/>
        <color rgb="FFFCFCFF"/>
        <color rgb="FF63BE7B"/>
      </colorScale>
    </cfRule>
  </conditionalFormatting>
  <conditionalFormatting sqref="R25:X2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:AD8">
    <cfRule type="colorScale" priority="2">
      <colorScale>
        <cfvo type="min"/>
        <cfvo type="max"/>
        <color rgb="FFFCFCFF"/>
        <color rgb="FF63BE7B"/>
      </colorScale>
    </cfRule>
  </conditionalFormatting>
  <conditionalFormatting sqref="Y12:AD16">
    <cfRule type="colorScale" priority="3">
      <colorScale>
        <cfvo type="min"/>
        <cfvo type="max"/>
        <color rgb="FFFCFCFF"/>
        <color rgb="FF63BE7B"/>
      </colorScale>
    </cfRule>
  </conditionalFormatting>
  <conditionalFormatting sqref="Y20:AD24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Y18 Y2 Y10" xr:uid="{F0277471-B940-4C1C-B613-464EFDCA6C9B}">
      <formula1>$A:$A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3126923B-225B-4F08-88EA-F1C38C2D00A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Y4:AD8</xm:sqref>
        </x14:conditionalFormatting>
        <x14:conditionalFormatting xmlns:xm="http://schemas.microsoft.com/office/excel/2006/main">
          <x14:cfRule type="iconSet" priority="7" id="{CC80F000-6421-4D76-A3A2-4B04B3B9B25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Y12:AD16</xm:sqref>
        </x14:conditionalFormatting>
        <x14:conditionalFormatting xmlns:xm="http://schemas.microsoft.com/office/excel/2006/main">
          <x14:cfRule type="iconSet" priority="8" id="{9E3A8534-EBA4-4048-BD79-5E44BF79C24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Y20:AD24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8644-6A06-4A9B-BD99-9E55A3269715}">
  <dimension ref="A1:X223"/>
  <sheetViews>
    <sheetView workbookViewId="0">
      <selection activeCell="M3" sqref="M3"/>
    </sheetView>
  </sheetViews>
  <sheetFormatPr defaultRowHeight="14.4"/>
  <cols>
    <col min="6" max="6" width="15" customWidth="1"/>
    <col min="7" max="7" width="14.33203125" customWidth="1"/>
    <col min="8" max="8" width="15.77734375" customWidth="1"/>
    <col min="9" max="9" width="16.88671875" customWidth="1"/>
    <col min="10" max="10" width="14.33203125" customWidth="1"/>
    <col min="22" max="22" width="12.109375" bestFit="1" customWidth="1"/>
    <col min="23" max="23" width="10.33203125" bestFit="1" customWidth="1"/>
  </cols>
  <sheetData>
    <row r="1" spans="1:24">
      <c r="A1" s="31" t="s">
        <v>0</v>
      </c>
      <c r="B1" s="31" t="s">
        <v>1</v>
      </c>
      <c r="C1" s="31" t="s">
        <v>2</v>
      </c>
      <c r="D1" s="31" t="s">
        <v>49</v>
      </c>
      <c r="E1" s="31" t="s">
        <v>51</v>
      </c>
      <c r="F1" s="31" t="s">
        <v>50</v>
      </c>
      <c r="G1" s="31" t="s">
        <v>52</v>
      </c>
      <c r="H1" s="31" t="s">
        <v>53</v>
      </c>
      <c r="I1" s="31" t="s">
        <v>55</v>
      </c>
      <c r="J1" s="31" t="s">
        <v>29</v>
      </c>
      <c r="N1" s="4" t="s">
        <v>1</v>
      </c>
      <c r="O1" s="4" t="s">
        <v>49</v>
      </c>
      <c r="P1" s="4" t="s">
        <v>51</v>
      </c>
      <c r="Q1" s="4" t="s">
        <v>50</v>
      </c>
      <c r="R1" s="4" t="s">
        <v>52</v>
      </c>
      <c r="S1" s="4" t="s">
        <v>53</v>
      </c>
      <c r="T1" s="4" t="s">
        <v>55</v>
      </c>
      <c r="U1" s="4" t="s">
        <v>29</v>
      </c>
      <c r="V1" s="33" t="s">
        <v>58</v>
      </c>
      <c r="W1" s="4" t="s">
        <v>59</v>
      </c>
      <c r="X1" s="32" t="s">
        <v>61</v>
      </c>
    </row>
    <row r="2" spans="1:24">
      <c r="A2" s="13" t="s">
        <v>30</v>
      </c>
      <c r="B2" s="13">
        <v>2017</v>
      </c>
      <c r="C2" s="13" t="s">
        <v>31</v>
      </c>
      <c r="D2" s="13">
        <v>1737.3000000000002</v>
      </c>
      <c r="E2" s="13">
        <v>132.1</v>
      </c>
      <c r="F2" s="13">
        <v>119.1</v>
      </c>
      <c r="G2" s="13">
        <v>930.30000000000007</v>
      </c>
      <c r="H2" s="13">
        <v>269.7</v>
      </c>
      <c r="I2" s="30">
        <v>272.45</v>
      </c>
      <c r="J2" s="13">
        <v>132.4</v>
      </c>
      <c r="N2" s="5">
        <v>2017</v>
      </c>
      <c r="O2" s="5">
        <f>SUMIFS(D$2:D$223, $B$2:$B$223, $N2, $A$2:$A$223, $M$3)</f>
        <v>21047.3</v>
      </c>
      <c r="P2" s="5">
        <f t="shared" ref="P2:T2" si="0">SUMIFS(E$2:E$223, $B$2:$B$223, $N2, $A$2:$A$223, $M$3)</f>
        <v>1566.1</v>
      </c>
      <c r="Q2" s="5">
        <f t="shared" si="0"/>
        <v>1408</v>
      </c>
      <c r="R2" s="5">
        <f t="shared" si="0"/>
        <v>11118.6</v>
      </c>
      <c r="S2" s="5">
        <f t="shared" si="0"/>
        <v>3294.3</v>
      </c>
      <c r="T2" s="5">
        <f t="shared" si="0"/>
        <v>3186.5</v>
      </c>
      <c r="U2" s="5">
        <f>SUMIFS(J$2:J$223, $B$2:$B$223, $N2, $A$2:$A$223, $M$3)</f>
        <v>1602</v>
      </c>
      <c r="V2">
        <v>0</v>
      </c>
      <c r="W2" s="5"/>
      <c r="X2" s="11">
        <f>IF($U2=0,"",($U2/1602)-1)</f>
        <v>0</v>
      </c>
    </row>
    <row r="3" spans="1:24">
      <c r="A3" s="13" t="s">
        <v>33</v>
      </c>
      <c r="B3" s="13">
        <v>2017</v>
      </c>
      <c r="C3" s="13" t="s">
        <v>31</v>
      </c>
      <c r="D3" s="13">
        <v>1713.2</v>
      </c>
      <c r="E3" s="13">
        <v>118</v>
      </c>
      <c r="F3" s="13">
        <v>115.2</v>
      </c>
      <c r="G3" s="13">
        <v>879.4</v>
      </c>
      <c r="H3" s="13">
        <v>267.7</v>
      </c>
      <c r="I3" s="30">
        <v>254.7</v>
      </c>
      <c r="J3" s="13">
        <v>127.8</v>
      </c>
      <c r="M3" s="32" t="s">
        <v>34</v>
      </c>
      <c r="N3" s="5">
        <v>2018</v>
      </c>
      <c r="O3" s="5">
        <f t="shared" ref="O3:O8" si="1">SUMIFS(D$2:D$223, $B$2:$B$223, $N3, $A$2:$A$223, $M$3)</f>
        <v>21275.5</v>
      </c>
      <c r="P3" s="5">
        <f t="shared" ref="P3:P8" si="2">SUMIFS(E$2:E$223, $B$2:$B$223, $N3, $A$2:$A$223, $M$3)</f>
        <v>1677.3</v>
      </c>
      <c r="Q3" s="5">
        <f t="shared" ref="Q3:Q8" si="3">SUMIFS(F$2:F$223, $B$2:$B$223, $N3, $A$2:$A$223, $M$3)</f>
        <v>1477.5</v>
      </c>
      <c r="R3" s="5">
        <f t="shared" ref="R3:R8" si="4">SUMIFS(G$2:G$223, $B$2:$B$223, $N3, $A$2:$A$223, $M$3)</f>
        <v>11683.199999999999</v>
      </c>
      <c r="S3" s="5">
        <f t="shared" ref="S3:S8" si="5">SUMIFS(H$2:H$223, $B$2:$B$223, $N3, $A$2:$A$223, $M$3)</f>
        <v>3498.0000000000005</v>
      </c>
      <c r="T3" s="5">
        <f t="shared" ref="T3:T8" si="6">SUMIFS(I$2:I$223, $B$2:$B$223, $N3, $A$2:$A$223, $M$3)</f>
        <v>3389</v>
      </c>
      <c r="U3" s="5">
        <f t="shared" ref="U3:U8" si="7">SUMIFS(J$2:J$223, $B$2:$B$223, $N3, $A$2:$A$223, $M$3)</f>
        <v>1665.3</v>
      </c>
      <c r="V3" s="34">
        <f>U3-U2/U2*100</f>
        <v>1565.3</v>
      </c>
      <c r="W3" s="11" t="e">
        <f>V3/V2</f>
        <v>#DIV/0!</v>
      </c>
      <c r="X3" s="11">
        <f t="shared" ref="X3:X8" si="8">IF($U3=0,"",($U3/1602)-1)</f>
        <v>3.9513108614232184E-2</v>
      </c>
    </row>
    <row r="4" spans="1:24">
      <c r="A4" s="13" t="s">
        <v>34</v>
      </c>
      <c r="B4" s="13">
        <v>2017</v>
      </c>
      <c r="C4" s="13" t="s">
        <v>31</v>
      </c>
      <c r="D4" s="13">
        <v>1727.2999999999995</v>
      </c>
      <c r="E4" s="13">
        <v>126.8</v>
      </c>
      <c r="F4" s="13">
        <v>117</v>
      </c>
      <c r="G4" s="13">
        <v>908.7</v>
      </c>
      <c r="H4" s="13">
        <v>268.20000000000005</v>
      </c>
      <c r="I4" s="30">
        <v>259</v>
      </c>
      <c r="J4" s="13">
        <v>130.30000000000001</v>
      </c>
      <c r="N4" s="5">
        <v>2019</v>
      </c>
      <c r="O4" s="5">
        <f t="shared" si="1"/>
        <v>20163.699999999997</v>
      </c>
      <c r="P4" s="5">
        <f t="shared" si="2"/>
        <v>1542.6999999999998</v>
      </c>
      <c r="Q4" s="5">
        <f t="shared" si="3"/>
        <v>1381.4999999999998</v>
      </c>
      <c r="R4" s="5">
        <f t="shared" si="4"/>
        <v>11158.199999999999</v>
      </c>
      <c r="S4" s="5">
        <f t="shared" si="5"/>
        <v>3354.1000000000004</v>
      </c>
      <c r="T4" s="5">
        <f t="shared" si="6"/>
        <v>3246.4</v>
      </c>
      <c r="U4" s="5">
        <f t="shared" si="7"/>
        <v>1586</v>
      </c>
      <c r="V4" s="34">
        <f t="shared" ref="V4:V8" si="9">U4-U3/U3*100</f>
        <v>1486</v>
      </c>
      <c r="W4" s="11">
        <f t="shared" ref="W4:W8" si="10">V4/V3</f>
        <v>0.94933878489746382</v>
      </c>
      <c r="X4" s="11">
        <f t="shared" si="8"/>
        <v>-9.987515605493158E-3</v>
      </c>
    </row>
    <row r="5" spans="1:24">
      <c r="A5" s="13" t="s">
        <v>30</v>
      </c>
      <c r="B5" s="13">
        <v>2017</v>
      </c>
      <c r="C5" s="13" t="s">
        <v>35</v>
      </c>
      <c r="D5" s="13">
        <v>1734.5000000000002</v>
      </c>
      <c r="E5" s="13">
        <v>133.19999999999999</v>
      </c>
      <c r="F5" s="13">
        <v>119.5</v>
      </c>
      <c r="G5" s="13">
        <v>932.80000000000007</v>
      </c>
      <c r="H5" s="13">
        <v>270.7</v>
      </c>
      <c r="I5" s="30">
        <v>272.85000000000002</v>
      </c>
      <c r="J5" s="13">
        <v>132.6</v>
      </c>
      <c r="N5" s="5">
        <v>2020</v>
      </c>
      <c r="O5" s="5">
        <f t="shared" si="1"/>
        <v>19936.5</v>
      </c>
      <c r="P5" s="5">
        <f t="shared" si="2"/>
        <v>1441.6999999999996</v>
      </c>
      <c r="Q5" s="5">
        <f t="shared" si="3"/>
        <v>1360.9</v>
      </c>
      <c r="R5" s="5">
        <f t="shared" si="4"/>
        <v>10577.4</v>
      </c>
      <c r="S5" s="5">
        <f t="shared" si="5"/>
        <v>3275.1</v>
      </c>
      <c r="T5" s="5">
        <f t="shared" si="6"/>
        <v>3033.7999999999997</v>
      </c>
      <c r="U5" s="5">
        <f t="shared" si="7"/>
        <v>1533.8000000000002</v>
      </c>
      <c r="V5" s="34">
        <f t="shared" si="9"/>
        <v>1433.8000000000002</v>
      </c>
      <c r="W5" s="11">
        <f t="shared" si="10"/>
        <v>0.96487213997308219</v>
      </c>
      <c r="X5" s="11">
        <f t="shared" si="8"/>
        <v>-4.2571785268414319E-2</v>
      </c>
    </row>
    <row r="6" spans="1:24">
      <c r="A6" s="13" t="s">
        <v>33</v>
      </c>
      <c r="B6" s="13">
        <v>2017</v>
      </c>
      <c r="C6" s="13" t="s">
        <v>35</v>
      </c>
      <c r="D6" s="13">
        <v>1705.3000000000002</v>
      </c>
      <c r="E6" s="13">
        <v>119.2</v>
      </c>
      <c r="F6" s="13">
        <v>115.5</v>
      </c>
      <c r="G6" s="13">
        <v>881.5</v>
      </c>
      <c r="H6" s="13">
        <v>268.70000000000005</v>
      </c>
      <c r="I6" s="30">
        <v>255.8</v>
      </c>
      <c r="J6" s="13">
        <v>128.19999999999999</v>
      </c>
      <c r="N6" s="5">
        <v>2021</v>
      </c>
      <c r="O6" s="5">
        <f t="shared" si="1"/>
        <v>25440.400000000001</v>
      </c>
      <c r="P6" s="5">
        <f t="shared" si="2"/>
        <v>1908.6999999999998</v>
      </c>
      <c r="Q6" s="5">
        <f t="shared" si="3"/>
        <v>1806.6999999999998</v>
      </c>
      <c r="R6" s="5">
        <f t="shared" si="4"/>
        <v>13413.9</v>
      </c>
      <c r="S6" s="5">
        <f t="shared" si="5"/>
        <v>4179.0999999999995</v>
      </c>
      <c r="T6" s="5">
        <f t="shared" si="6"/>
        <v>3799.9</v>
      </c>
      <c r="U6" s="5">
        <f t="shared" si="7"/>
        <v>1937.5000000000002</v>
      </c>
      <c r="V6" s="34">
        <f t="shared" si="9"/>
        <v>1837.5000000000002</v>
      </c>
      <c r="W6" s="11">
        <f t="shared" si="10"/>
        <v>1.2815594922583344</v>
      </c>
      <c r="X6" s="11">
        <f t="shared" si="8"/>
        <v>0.20942571785268438</v>
      </c>
    </row>
    <row r="7" spans="1:24">
      <c r="A7" s="13" t="s">
        <v>34</v>
      </c>
      <c r="B7" s="13">
        <v>2017</v>
      </c>
      <c r="C7" s="13" t="s">
        <v>35</v>
      </c>
      <c r="D7" s="13">
        <v>1722.3000000000002</v>
      </c>
      <c r="E7" s="13">
        <v>127.9</v>
      </c>
      <c r="F7" s="13">
        <v>117.4</v>
      </c>
      <c r="G7" s="13">
        <v>910.99999999999989</v>
      </c>
      <c r="H7" s="13">
        <v>269.2</v>
      </c>
      <c r="I7" s="30">
        <v>260.2</v>
      </c>
      <c r="J7" s="13">
        <v>130.6</v>
      </c>
      <c r="N7" s="5">
        <v>2022</v>
      </c>
      <c r="O7" s="5">
        <f t="shared" si="1"/>
        <v>26918.600000000006</v>
      </c>
      <c r="P7" s="5">
        <f t="shared" si="2"/>
        <v>2101.6</v>
      </c>
      <c r="Q7" s="5">
        <f t="shared" si="3"/>
        <v>1933.1000000000001</v>
      </c>
      <c r="R7" s="5">
        <f t="shared" si="4"/>
        <v>14452.6</v>
      </c>
      <c r="S7" s="5">
        <f t="shared" si="5"/>
        <v>4350.4000000000005</v>
      </c>
      <c r="T7" s="5">
        <f t="shared" si="6"/>
        <v>4017.2000000000007</v>
      </c>
      <c r="U7" s="5">
        <f t="shared" si="7"/>
        <v>2065.7999999999997</v>
      </c>
      <c r="V7" s="34">
        <f t="shared" si="9"/>
        <v>1965.7999999999997</v>
      </c>
      <c r="W7" s="11">
        <f t="shared" si="10"/>
        <v>1.0698231292517004</v>
      </c>
      <c r="X7" s="11">
        <f t="shared" si="8"/>
        <v>0.28951310861423196</v>
      </c>
    </row>
    <row r="8" spans="1:24">
      <c r="A8" s="13" t="s">
        <v>30</v>
      </c>
      <c r="B8" s="13">
        <v>2017</v>
      </c>
      <c r="C8" s="13" t="s">
        <v>36</v>
      </c>
      <c r="D8" s="13">
        <v>1728.5000000000002</v>
      </c>
      <c r="E8" s="13">
        <v>134.19999999999999</v>
      </c>
      <c r="F8" s="13">
        <v>119.8</v>
      </c>
      <c r="G8" s="13">
        <v>936</v>
      </c>
      <c r="H8" s="13">
        <v>271.60000000000002</v>
      </c>
      <c r="I8" s="30">
        <v>273.35000000000002</v>
      </c>
      <c r="J8" s="13">
        <v>132.80000000000001</v>
      </c>
      <c r="N8" s="5">
        <v>2023</v>
      </c>
      <c r="O8" s="5">
        <f t="shared" si="1"/>
        <v>11447.499999999998</v>
      </c>
      <c r="P8" s="5">
        <f t="shared" si="2"/>
        <v>910.5</v>
      </c>
      <c r="Q8" s="5">
        <f t="shared" si="3"/>
        <v>821.3</v>
      </c>
      <c r="R8" s="5">
        <f t="shared" si="4"/>
        <v>6312.5999999999995</v>
      </c>
      <c r="S8" s="5">
        <f t="shared" si="5"/>
        <v>1870.5000000000002</v>
      </c>
      <c r="T8" s="5">
        <f t="shared" si="6"/>
        <v>1741</v>
      </c>
      <c r="U8" s="5">
        <f t="shared" si="7"/>
        <v>888.1</v>
      </c>
      <c r="V8" s="34">
        <f t="shared" si="9"/>
        <v>788.1</v>
      </c>
      <c r="W8" s="11">
        <f t="shared" si="10"/>
        <v>0.40090548377251001</v>
      </c>
      <c r="X8" s="11">
        <f t="shared" si="8"/>
        <v>-0.4456304619225967</v>
      </c>
    </row>
    <row r="9" spans="1:24">
      <c r="A9" s="13" t="s">
        <v>33</v>
      </c>
      <c r="B9" s="13">
        <v>2017</v>
      </c>
      <c r="C9" s="13" t="s">
        <v>36</v>
      </c>
      <c r="D9" s="13">
        <v>1705.6999999999998</v>
      </c>
      <c r="E9" s="13">
        <v>120.8</v>
      </c>
      <c r="F9" s="13">
        <v>115.6</v>
      </c>
      <c r="G9" s="13">
        <v>883.2</v>
      </c>
      <c r="H9" s="13">
        <v>270.10000000000002</v>
      </c>
      <c r="I9" s="30">
        <v>256.7</v>
      </c>
      <c r="J9" s="13">
        <v>128.69999999999999</v>
      </c>
      <c r="N9" s="5"/>
      <c r="O9" s="5"/>
      <c r="P9" s="5"/>
      <c r="Q9" s="5"/>
      <c r="R9" s="5"/>
      <c r="S9" s="5"/>
      <c r="T9" s="5"/>
      <c r="U9" s="5"/>
    </row>
    <row r="10" spans="1:24">
      <c r="A10" s="13" t="s">
        <v>34</v>
      </c>
      <c r="B10" s="13">
        <v>2017</v>
      </c>
      <c r="C10" s="13" t="s">
        <v>36</v>
      </c>
      <c r="D10" s="13">
        <v>1718.9</v>
      </c>
      <c r="E10" s="13">
        <v>129.1</v>
      </c>
      <c r="F10" s="13">
        <v>117.6</v>
      </c>
      <c r="G10" s="13">
        <v>913.5</v>
      </c>
      <c r="H10" s="13">
        <v>270.2</v>
      </c>
      <c r="I10" s="30">
        <v>261.2</v>
      </c>
      <c r="J10" s="13">
        <v>130.9</v>
      </c>
      <c r="N10" s="5" t="s">
        <v>57</v>
      </c>
      <c r="O10" s="5">
        <f>SUM(O2:O8)</f>
        <v>146229.5</v>
      </c>
      <c r="P10" s="5">
        <f t="shared" ref="P10:U10" si="11">SUM(P2:P8)</f>
        <v>11148.599999999999</v>
      </c>
      <c r="Q10" s="5">
        <f t="shared" si="11"/>
        <v>10188.999999999998</v>
      </c>
      <c r="R10" s="5">
        <f t="shared" si="11"/>
        <v>78716.500000000015</v>
      </c>
      <c r="S10" s="5">
        <f t="shared" si="11"/>
        <v>23821.500000000004</v>
      </c>
      <c r="T10" s="5">
        <f t="shared" si="11"/>
        <v>22413.8</v>
      </c>
      <c r="U10" s="5">
        <f t="shared" si="11"/>
        <v>11278.5</v>
      </c>
    </row>
    <row r="11" spans="1:24">
      <c r="A11" s="13" t="s">
        <v>30</v>
      </c>
      <c r="B11" s="13">
        <v>2017</v>
      </c>
      <c r="C11" s="13" t="s">
        <v>37</v>
      </c>
      <c r="D11" s="13">
        <v>1726.3</v>
      </c>
      <c r="E11" s="13">
        <v>135</v>
      </c>
      <c r="F11" s="13">
        <v>119.2</v>
      </c>
      <c r="G11" s="13">
        <v>939.5</v>
      </c>
      <c r="H11" s="13">
        <v>271.89999999999998</v>
      </c>
      <c r="I11" s="30">
        <v>273.55</v>
      </c>
      <c r="J11" s="13">
        <v>132.9</v>
      </c>
    </row>
    <row r="12" spans="1:24">
      <c r="A12" s="13" t="s">
        <v>33</v>
      </c>
      <c r="B12" s="13">
        <v>2017</v>
      </c>
      <c r="C12" s="13" t="s">
        <v>37</v>
      </c>
      <c r="D12" s="13">
        <v>1708.1</v>
      </c>
      <c r="E12" s="13">
        <v>121.4</v>
      </c>
      <c r="F12" s="13">
        <v>114.3</v>
      </c>
      <c r="G12" s="13">
        <v>886.00000000000011</v>
      </c>
      <c r="H12" s="13">
        <v>270.5</v>
      </c>
      <c r="I12" s="30">
        <v>257.7</v>
      </c>
      <c r="J12" s="13">
        <v>129.1</v>
      </c>
    </row>
    <row r="13" spans="1:24">
      <c r="A13" s="13" t="s">
        <v>34</v>
      </c>
      <c r="B13" s="13">
        <v>2017</v>
      </c>
      <c r="C13" s="13" t="s">
        <v>37</v>
      </c>
      <c r="D13" s="13">
        <v>1718.4</v>
      </c>
      <c r="E13" s="13">
        <v>129.80000000000001</v>
      </c>
      <c r="F13" s="13">
        <v>116.6</v>
      </c>
      <c r="G13" s="13">
        <v>916.9</v>
      </c>
      <c r="H13" s="13">
        <v>270.5</v>
      </c>
      <c r="I13" s="30">
        <v>262.10000000000002</v>
      </c>
      <c r="J13" s="13">
        <v>131.1</v>
      </c>
    </row>
    <row r="14" spans="1:24">
      <c r="A14" s="13" t="s">
        <v>30</v>
      </c>
      <c r="B14" s="13">
        <v>2017</v>
      </c>
      <c r="C14" s="13" t="s">
        <v>38</v>
      </c>
      <c r="D14" s="13">
        <v>1727.4999999999995</v>
      </c>
      <c r="E14" s="13">
        <v>135</v>
      </c>
      <c r="F14" s="13">
        <v>119.4</v>
      </c>
      <c r="G14" s="13">
        <v>942.40000000000009</v>
      </c>
      <c r="H14" s="13">
        <v>273.39999999999998</v>
      </c>
      <c r="I14" s="30">
        <v>274.14999999999998</v>
      </c>
      <c r="J14" s="13">
        <v>133.30000000000001</v>
      </c>
    </row>
    <row r="15" spans="1:24">
      <c r="A15" s="13" t="s">
        <v>33</v>
      </c>
      <c r="B15" s="13">
        <v>2017</v>
      </c>
      <c r="C15" s="13" t="s">
        <v>38</v>
      </c>
      <c r="D15" s="13">
        <v>1709.6</v>
      </c>
      <c r="E15" s="13">
        <v>120.1</v>
      </c>
      <c r="F15" s="13">
        <v>114.3</v>
      </c>
      <c r="G15" s="13">
        <v>887.10000000000014</v>
      </c>
      <c r="H15" s="13">
        <v>270.89999999999998</v>
      </c>
      <c r="I15" s="30">
        <v>258.60000000000002</v>
      </c>
      <c r="J15" s="13">
        <v>129.30000000000001</v>
      </c>
    </row>
    <row r="16" spans="1:24">
      <c r="A16" s="13" t="s">
        <v>34</v>
      </c>
      <c r="B16" s="13">
        <v>2017</v>
      </c>
      <c r="C16" s="13" t="s">
        <v>38</v>
      </c>
      <c r="D16" s="13">
        <v>1719.6000000000001</v>
      </c>
      <c r="E16" s="13">
        <v>129.4</v>
      </c>
      <c r="F16" s="13">
        <v>116.7</v>
      </c>
      <c r="G16" s="13">
        <v>918.7</v>
      </c>
      <c r="H16" s="13">
        <v>271.5</v>
      </c>
      <c r="I16" s="30">
        <v>263</v>
      </c>
      <c r="J16" s="13">
        <v>131.4</v>
      </c>
    </row>
    <row r="17" spans="1:10">
      <c r="A17" s="13" t="s">
        <v>30</v>
      </c>
      <c r="B17" s="13">
        <v>2017</v>
      </c>
      <c r="C17" s="13" t="s">
        <v>39</v>
      </c>
      <c r="D17" s="13">
        <v>1738.8000000000002</v>
      </c>
      <c r="E17" s="13">
        <v>134.80000000000001</v>
      </c>
      <c r="F17" s="13">
        <v>119.4</v>
      </c>
      <c r="G17" s="13">
        <v>945.19999999999993</v>
      </c>
      <c r="H17" s="13">
        <v>273.89999999999998</v>
      </c>
      <c r="I17" s="30">
        <v>274.45</v>
      </c>
      <c r="J17" s="13">
        <v>133.9</v>
      </c>
    </row>
    <row r="18" spans="1:10">
      <c r="A18" s="13" t="s">
        <v>33</v>
      </c>
      <c r="B18" s="13">
        <v>2017</v>
      </c>
      <c r="C18" s="13" t="s">
        <v>39</v>
      </c>
      <c r="D18" s="13">
        <v>1731.0000000000002</v>
      </c>
      <c r="E18" s="13">
        <v>119</v>
      </c>
      <c r="F18" s="13">
        <v>113.9</v>
      </c>
      <c r="G18" s="13">
        <v>888.40000000000009</v>
      </c>
      <c r="H18" s="13">
        <v>271.3</v>
      </c>
      <c r="I18" s="30">
        <v>258.2</v>
      </c>
      <c r="J18" s="13">
        <v>129.9</v>
      </c>
    </row>
    <row r="19" spans="1:10">
      <c r="A19" s="13" t="s">
        <v>34</v>
      </c>
      <c r="B19" s="13">
        <v>2017</v>
      </c>
      <c r="C19" s="13" t="s">
        <v>39</v>
      </c>
      <c r="D19" s="13">
        <v>1734.7</v>
      </c>
      <c r="E19" s="13">
        <v>128.80000000000001</v>
      </c>
      <c r="F19" s="13">
        <v>116.5</v>
      </c>
      <c r="G19" s="13">
        <v>920.9</v>
      </c>
      <c r="H19" s="13">
        <v>272</v>
      </c>
      <c r="I19" s="30">
        <v>262.60000000000002</v>
      </c>
      <c r="J19" s="13">
        <v>132</v>
      </c>
    </row>
    <row r="20" spans="1:10">
      <c r="A20" s="13" t="s">
        <v>30</v>
      </c>
      <c r="B20" s="13">
        <v>2017</v>
      </c>
      <c r="C20" s="13" t="s">
        <v>40</v>
      </c>
      <c r="D20" s="13">
        <v>1772.9</v>
      </c>
      <c r="E20" s="13">
        <v>135.30000000000001</v>
      </c>
      <c r="F20" s="13">
        <v>119.1</v>
      </c>
      <c r="G20" s="13">
        <v>951.60000000000014</v>
      </c>
      <c r="H20" s="13">
        <v>276</v>
      </c>
      <c r="I20" s="30">
        <v>275.35000000000002</v>
      </c>
      <c r="J20" s="13">
        <v>136.19999999999999</v>
      </c>
    </row>
    <row r="21" spans="1:10">
      <c r="A21" s="13" t="s">
        <v>33</v>
      </c>
      <c r="B21" s="13">
        <v>2017</v>
      </c>
      <c r="C21" s="13" t="s">
        <v>40</v>
      </c>
      <c r="D21" s="13">
        <v>1768.1</v>
      </c>
      <c r="E21" s="13">
        <v>119.7</v>
      </c>
      <c r="F21" s="13">
        <v>113.2</v>
      </c>
      <c r="G21" s="13">
        <v>892.1</v>
      </c>
      <c r="H21" s="13">
        <v>273.5</v>
      </c>
      <c r="I21" s="30">
        <v>259.8</v>
      </c>
      <c r="J21" s="13">
        <v>131.80000000000001</v>
      </c>
    </row>
    <row r="22" spans="1:10">
      <c r="A22" s="13" t="s">
        <v>34</v>
      </c>
      <c r="B22" s="13">
        <v>2017</v>
      </c>
      <c r="C22" s="13" t="s">
        <v>40</v>
      </c>
      <c r="D22" s="13">
        <v>1769.3999999999999</v>
      </c>
      <c r="E22" s="13">
        <v>129.4</v>
      </c>
      <c r="F22" s="13">
        <v>116</v>
      </c>
      <c r="G22" s="13">
        <v>926.10000000000014</v>
      </c>
      <c r="H22" s="13">
        <v>274.10000000000002</v>
      </c>
      <c r="I22" s="30">
        <v>264.5</v>
      </c>
      <c r="J22" s="13">
        <v>134.19999999999999</v>
      </c>
    </row>
    <row r="23" spans="1:10">
      <c r="A23" s="13" t="s">
        <v>30</v>
      </c>
      <c r="B23" s="13">
        <v>2017</v>
      </c>
      <c r="C23" s="13" t="s">
        <v>41</v>
      </c>
      <c r="D23" s="13">
        <v>1792.4999999999998</v>
      </c>
      <c r="E23" s="13">
        <v>136.4</v>
      </c>
      <c r="F23" s="13">
        <v>120.3</v>
      </c>
      <c r="G23" s="13">
        <v>959.10000000000014</v>
      </c>
      <c r="H23" s="13">
        <v>278.7</v>
      </c>
      <c r="I23" s="30">
        <v>276.55</v>
      </c>
      <c r="J23" s="13">
        <v>137.80000000000001</v>
      </c>
    </row>
    <row r="24" spans="1:10">
      <c r="A24" s="13" t="s">
        <v>33</v>
      </c>
      <c r="B24" s="13">
        <v>2017</v>
      </c>
      <c r="C24" s="13" t="s">
        <v>41</v>
      </c>
      <c r="D24" s="13">
        <v>1772.9999999999998</v>
      </c>
      <c r="E24" s="13">
        <v>118.9</v>
      </c>
      <c r="F24" s="13">
        <v>114.6</v>
      </c>
      <c r="G24" s="13">
        <v>897.19999999999982</v>
      </c>
      <c r="H24" s="13">
        <v>275.89999999999998</v>
      </c>
      <c r="I24" s="30">
        <v>262.10000000000002</v>
      </c>
      <c r="J24" s="13">
        <v>132.69999999999999</v>
      </c>
    </row>
    <row r="25" spans="1:10">
      <c r="A25" s="13" t="s">
        <v>34</v>
      </c>
      <c r="B25" s="13">
        <v>2017</v>
      </c>
      <c r="C25" s="13" t="s">
        <v>41</v>
      </c>
      <c r="D25" s="13">
        <v>1783.8</v>
      </c>
      <c r="E25" s="13">
        <v>129.80000000000001</v>
      </c>
      <c r="F25" s="13">
        <v>117.3</v>
      </c>
      <c r="G25" s="13">
        <v>932.19999999999993</v>
      </c>
      <c r="H25" s="13">
        <v>276.60000000000002</v>
      </c>
      <c r="I25" s="30">
        <v>267.20000000000005</v>
      </c>
      <c r="J25" s="13">
        <v>135.4</v>
      </c>
    </row>
    <row r="26" spans="1:10">
      <c r="A26" s="13" t="s">
        <v>30</v>
      </c>
      <c r="B26" s="13">
        <v>2017</v>
      </c>
      <c r="C26" s="13" t="s">
        <v>42</v>
      </c>
      <c r="D26" s="13">
        <v>1784.3</v>
      </c>
      <c r="E26" s="13">
        <v>137.4</v>
      </c>
      <c r="F26" s="13">
        <v>121.2</v>
      </c>
      <c r="G26" s="13">
        <v>963.00000000000011</v>
      </c>
      <c r="H26" s="13">
        <v>280.10000000000002</v>
      </c>
      <c r="I26" s="30">
        <v>277.14999999999998</v>
      </c>
      <c r="J26" s="13">
        <v>137.6</v>
      </c>
    </row>
    <row r="27" spans="1:10">
      <c r="A27" s="13" t="s">
        <v>33</v>
      </c>
      <c r="B27" s="13">
        <v>2017</v>
      </c>
      <c r="C27" s="13" t="s">
        <v>42</v>
      </c>
      <c r="D27" s="13">
        <v>1749.7</v>
      </c>
      <c r="E27" s="13">
        <v>120.6</v>
      </c>
      <c r="F27" s="13">
        <v>115.7</v>
      </c>
      <c r="G27" s="13">
        <v>900.8</v>
      </c>
      <c r="H27" s="13">
        <v>278.10000000000002</v>
      </c>
      <c r="I27" s="30">
        <v>263.79999999999995</v>
      </c>
      <c r="J27" s="13">
        <v>132.4</v>
      </c>
    </row>
    <row r="28" spans="1:10">
      <c r="A28" s="13" t="s">
        <v>34</v>
      </c>
      <c r="B28" s="13">
        <v>2017</v>
      </c>
      <c r="C28" s="13" t="s">
        <v>42</v>
      </c>
      <c r="D28" s="13">
        <v>1769.9999999999998</v>
      </c>
      <c r="E28" s="13">
        <v>131</v>
      </c>
      <c r="F28" s="13">
        <v>118.3</v>
      </c>
      <c r="G28" s="13">
        <v>936.1</v>
      </c>
      <c r="H28" s="13">
        <v>278.3</v>
      </c>
      <c r="I28" s="30">
        <v>269</v>
      </c>
      <c r="J28" s="13">
        <v>135.19999999999999</v>
      </c>
    </row>
    <row r="29" spans="1:10">
      <c r="A29" s="13" t="s">
        <v>30</v>
      </c>
      <c r="B29" s="13">
        <v>2017</v>
      </c>
      <c r="C29" s="13" t="s">
        <v>43</v>
      </c>
      <c r="D29" s="13">
        <v>1790.8999999999999</v>
      </c>
      <c r="E29" s="13">
        <v>138.1</v>
      </c>
      <c r="F29" s="13">
        <v>121</v>
      </c>
      <c r="G29" s="13">
        <v>968.7</v>
      </c>
      <c r="H29" s="13">
        <v>281.2</v>
      </c>
      <c r="I29" s="30">
        <v>277.64999999999998</v>
      </c>
      <c r="J29" s="13">
        <v>138.30000000000001</v>
      </c>
    </row>
    <row r="30" spans="1:10">
      <c r="A30" s="13" t="s">
        <v>33</v>
      </c>
      <c r="B30" s="13">
        <v>2017</v>
      </c>
      <c r="C30" s="13" t="s">
        <v>43</v>
      </c>
      <c r="D30" s="13">
        <v>1765.6999999999998</v>
      </c>
      <c r="E30" s="13">
        <v>122.6</v>
      </c>
      <c r="F30" s="13">
        <v>115</v>
      </c>
      <c r="G30" s="13">
        <v>903.8</v>
      </c>
      <c r="H30" s="13">
        <v>279.10000000000002</v>
      </c>
      <c r="I30" s="30">
        <v>265.60000000000002</v>
      </c>
      <c r="J30" s="13">
        <v>133.5</v>
      </c>
    </row>
    <row r="31" spans="1:10">
      <c r="A31" s="13" t="s">
        <v>34</v>
      </c>
      <c r="B31" s="13">
        <v>2017</v>
      </c>
      <c r="C31" s="13" t="s">
        <v>43</v>
      </c>
      <c r="D31" s="13">
        <v>1779.6999999999998</v>
      </c>
      <c r="E31" s="13">
        <v>132.19999999999999</v>
      </c>
      <c r="F31" s="13">
        <v>117.8</v>
      </c>
      <c r="G31" s="13">
        <v>940.7</v>
      </c>
      <c r="H31" s="13">
        <v>279.3</v>
      </c>
      <c r="I31" s="30">
        <v>270.89999999999998</v>
      </c>
      <c r="J31" s="13">
        <v>136.1</v>
      </c>
    </row>
    <row r="32" spans="1:10">
      <c r="A32" s="13" t="s">
        <v>30</v>
      </c>
      <c r="B32" s="13">
        <v>2017</v>
      </c>
      <c r="C32" s="13" t="s">
        <v>45</v>
      </c>
      <c r="D32" s="13">
        <v>1817.7000000000003</v>
      </c>
      <c r="E32" s="13">
        <v>141.1</v>
      </c>
      <c r="F32" s="13">
        <v>121.6</v>
      </c>
      <c r="G32" s="13">
        <v>976.09999999999991</v>
      </c>
      <c r="H32" s="13">
        <v>283.79999999999995</v>
      </c>
      <c r="I32" s="30">
        <v>278.64999999999998</v>
      </c>
      <c r="J32" s="13">
        <v>140</v>
      </c>
    </row>
    <row r="33" spans="1:10">
      <c r="A33" s="13" t="s">
        <v>33</v>
      </c>
      <c r="B33" s="13">
        <v>2017</v>
      </c>
      <c r="C33" s="13" t="s">
        <v>45</v>
      </c>
      <c r="D33" s="13">
        <v>1796.7</v>
      </c>
      <c r="E33" s="13">
        <v>125.7</v>
      </c>
      <c r="F33" s="13">
        <v>115.3</v>
      </c>
      <c r="G33" s="13">
        <v>907.9</v>
      </c>
      <c r="H33" s="13">
        <v>281.10000000000002</v>
      </c>
      <c r="I33" s="30">
        <v>267.39999999999998</v>
      </c>
      <c r="J33" s="13">
        <v>134.80000000000001</v>
      </c>
    </row>
    <row r="34" spans="1:10">
      <c r="A34" s="13" t="s">
        <v>34</v>
      </c>
      <c r="B34" s="13">
        <v>2017</v>
      </c>
      <c r="C34" s="13" t="s">
        <v>45</v>
      </c>
      <c r="D34" s="13">
        <v>1808.2</v>
      </c>
      <c r="E34" s="13">
        <v>135.30000000000001</v>
      </c>
      <c r="F34" s="13">
        <v>118.3</v>
      </c>
      <c r="G34" s="13">
        <v>946.50000000000011</v>
      </c>
      <c r="H34" s="13">
        <v>281.60000000000002</v>
      </c>
      <c r="I34" s="30">
        <v>273</v>
      </c>
      <c r="J34" s="13">
        <v>137.6</v>
      </c>
    </row>
    <row r="35" spans="1:10">
      <c r="A35" s="13" t="s">
        <v>30</v>
      </c>
      <c r="B35" s="13">
        <v>2017</v>
      </c>
      <c r="C35" s="13" t="s">
        <v>46</v>
      </c>
      <c r="D35" s="13">
        <v>1813.6000000000001</v>
      </c>
      <c r="E35" s="13">
        <v>142.6</v>
      </c>
      <c r="F35" s="13">
        <v>122</v>
      </c>
      <c r="G35" s="13">
        <v>975.5</v>
      </c>
      <c r="H35" s="13">
        <v>285.10000000000002</v>
      </c>
      <c r="I35" s="30">
        <v>278.75</v>
      </c>
      <c r="J35" s="13">
        <v>139.80000000000001</v>
      </c>
    </row>
    <row r="36" spans="1:10">
      <c r="A36" s="13" t="s">
        <v>33</v>
      </c>
      <c r="B36" s="13">
        <v>2017</v>
      </c>
      <c r="C36" s="13" t="s">
        <v>46</v>
      </c>
      <c r="D36" s="13">
        <v>1767.5</v>
      </c>
      <c r="E36" s="13">
        <v>126.8</v>
      </c>
      <c r="F36" s="13">
        <v>115.3</v>
      </c>
      <c r="G36" s="13">
        <v>910.3</v>
      </c>
      <c r="H36" s="13">
        <v>282.10000000000002</v>
      </c>
      <c r="I36" s="30">
        <v>268.39999999999998</v>
      </c>
      <c r="J36" s="13">
        <v>134.1</v>
      </c>
    </row>
    <row r="37" spans="1:10">
      <c r="A37" s="13" t="s">
        <v>34</v>
      </c>
      <c r="B37" s="13">
        <v>2017</v>
      </c>
      <c r="C37" s="13" t="s">
        <v>46</v>
      </c>
      <c r="D37" s="13">
        <v>1794.9999999999998</v>
      </c>
      <c r="E37" s="13">
        <v>136.6</v>
      </c>
      <c r="F37" s="13">
        <v>118.5</v>
      </c>
      <c r="G37" s="13">
        <v>947.30000000000007</v>
      </c>
      <c r="H37" s="13">
        <v>282.79999999999995</v>
      </c>
      <c r="I37" s="30">
        <v>273.79999999999995</v>
      </c>
      <c r="J37" s="13">
        <v>137.19999999999999</v>
      </c>
    </row>
    <row r="38" spans="1:10">
      <c r="A38" s="13" t="s">
        <v>30</v>
      </c>
      <c r="B38" s="13">
        <v>2018</v>
      </c>
      <c r="C38" s="13" t="s">
        <v>31</v>
      </c>
      <c r="D38" s="13">
        <v>1800.7</v>
      </c>
      <c r="E38" s="13">
        <v>142.30000000000001</v>
      </c>
      <c r="F38" s="13">
        <v>122.7</v>
      </c>
      <c r="G38" s="13">
        <v>978.6</v>
      </c>
      <c r="H38" s="13">
        <v>285.89999999999998</v>
      </c>
      <c r="I38" s="30">
        <v>279.05</v>
      </c>
      <c r="J38" s="13">
        <v>139.30000000000001</v>
      </c>
    </row>
    <row r="39" spans="1:10">
      <c r="A39" s="13" t="s">
        <v>33</v>
      </c>
      <c r="B39" s="13">
        <v>2018</v>
      </c>
      <c r="C39" s="13" t="s">
        <v>31</v>
      </c>
      <c r="D39" s="13">
        <v>1748.3000000000002</v>
      </c>
      <c r="E39" s="13">
        <v>127.3</v>
      </c>
      <c r="F39" s="13">
        <v>116.3</v>
      </c>
      <c r="G39" s="13">
        <v>914.1</v>
      </c>
      <c r="H39" s="13">
        <v>283.5</v>
      </c>
      <c r="I39" s="30">
        <v>269.89999999999998</v>
      </c>
      <c r="J39" s="13">
        <v>134.1</v>
      </c>
    </row>
    <row r="40" spans="1:10">
      <c r="A40" s="13" t="s">
        <v>34</v>
      </c>
      <c r="B40" s="13">
        <v>2018</v>
      </c>
      <c r="C40" s="13" t="s">
        <v>31</v>
      </c>
      <c r="D40" s="13">
        <v>1779.9</v>
      </c>
      <c r="E40" s="13">
        <v>136.6</v>
      </c>
      <c r="F40" s="13">
        <v>119.3</v>
      </c>
      <c r="G40" s="13">
        <v>950.6</v>
      </c>
      <c r="H40" s="13">
        <v>283.79999999999995</v>
      </c>
      <c r="I40" s="30">
        <v>275.3</v>
      </c>
      <c r="J40" s="13">
        <v>136.9</v>
      </c>
    </row>
    <row r="41" spans="1:10">
      <c r="A41" s="13" t="s">
        <v>30</v>
      </c>
      <c r="B41" s="13">
        <v>2018</v>
      </c>
      <c r="C41" s="13" t="s">
        <v>35</v>
      </c>
      <c r="D41" s="13">
        <v>1781.5</v>
      </c>
      <c r="E41" s="13">
        <v>142.4</v>
      </c>
      <c r="F41" s="13">
        <v>123.3</v>
      </c>
      <c r="G41" s="13">
        <v>979.69999999999993</v>
      </c>
      <c r="H41" s="13">
        <v>285.8</v>
      </c>
      <c r="I41" s="30">
        <v>279.14999999999998</v>
      </c>
      <c r="J41" s="13">
        <v>138.5</v>
      </c>
    </row>
    <row r="42" spans="1:10">
      <c r="A42" s="13" t="s">
        <v>33</v>
      </c>
      <c r="B42" s="13">
        <v>2018</v>
      </c>
      <c r="C42" s="13" t="s">
        <v>35</v>
      </c>
      <c r="D42" s="13">
        <v>1727.9</v>
      </c>
      <c r="E42" s="13">
        <v>127.3</v>
      </c>
      <c r="F42" s="13">
        <v>117.4</v>
      </c>
      <c r="G42" s="13">
        <v>916.8</v>
      </c>
      <c r="H42" s="13">
        <v>285.8</v>
      </c>
      <c r="I42" s="30">
        <v>271.20000000000005</v>
      </c>
      <c r="J42" s="13">
        <v>134</v>
      </c>
    </row>
    <row r="43" spans="1:10">
      <c r="A43" s="13" t="s">
        <v>34</v>
      </c>
      <c r="B43" s="13">
        <v>2018</v>
      </c>
      <c r="C43" s="13" t="s">
        <v>35</v>
      </c>
      <c r="D43" s="13">
        <v>1760.3999999999996</v>
      </c>
      <c r="E43" s="13">
        <v>136.69999999999999</v>
      </c>
      <c r="F43" s="13">
        <v>120.2</v>
      </c>
      <c r="G43" s="13">
        <v>952.4</v>
      </c>
      <c r="H43" s="13">
        <v>284.5</v>
      </c>
      <c r="I43" s="30">
        <v>276.5</v>
      </c>
      <c r="J43" s="13">
        <v>136.4</v>
      </c>
    </row>
    <row r="44" spans="1:10">
      <c r="A44" s="13" t="s">
        <v>30</v>
      </c>
      <c r="B44" s="13">
        <v>2018</v>
      </c>
      <c r="C44" s="13" t="s">
        <v>36</v>
      </c>
      <c r="D44" s="13">
        <v>1781.9999999999998</v>
      </c>
      <c r="E44" s="13">
        <v>142.6</v>
      </c>
      <c r="F44" s="13">
        <v>124.6</v>
      </c>
      <c r="G44" s="13">
        <v>984.3</v>
      </c>
      <c r="H44" s="13">
        <v>288.39999999999998</v>
      </c>
      <c r="I44" s="30">
        <v>279.14999999999998</v>
      </c>
      <c r="J44" s="13">
        <v>138.69999999999999</v>
      </c>
    </row>
    <row r="45" spans="1:10">
      <c r="A45" s="13" t="s">
        <v>33</v>
      </c>
      <c r="B45" s="13">
        <v>2018</v>
      </c>
      <c r="C45" s="13" t="s">
        <v>36</v>
      </c>
      <c r="D45" s="13">
        <v>1715.5</v>
      </c>
      <c r="E45" s="13">
        <v>126.4</v>
      </c>
      <c r="F45" s="13">
        <v>117.8</v>
      </c>
      <c r="G45" s="13">
        <v>920.40000000000009</v>
      </c>
      <c r="H45" s="13">
        <v>286.79999999999995</v>
      </c>
      <c r="I45" s="30">
        <v>272.8</v>
      </c>
      <c r="J45" s="13">
        <v>134</v>
      </c>
    </row>
    <row r="46" spans="1:10">
      <c r="A46" s="13" t="s">
        <v>34</v>
      </c>
      <c r="B46" s="13">
        <v>2018</v>
      </c>
      <c r="C46" s="13" t="s">
        <v>36</v>
      </c>
      <c r="D46" s="13">
        <v>1756</v>
      </c>
      <c r="E46" s="13">
        <v>136.5</v>
      </c>
      <c r="F46" s="13">
        <v>121</v>
      </c>
      <c r="G46" s="13">
        <v>956.3</v>
      </c>
      <c r="H46" s="13">
        <v>286.60000000000002</v>
      </c>
      <c r="I46" s="30">
        <v>277.60000000000002</v>
      </c>
      <c r="J46" s="13">
        <v>136.5</v>
      </c>
    </row>
    <row r="47" spans="1:10">
      <c r="A47" s="13" t="s">
        <v>30</v>
      </c>
      <c r="B47" s="13">
        <v>2018</v>
      </c>
      <c r="C47" s="13" t="s">
        <v>37</v>
      </c>
      <c r="D47" s="13">
        <v>1780</v>
      </c>
      <c r="E47" s="13">
        <v>143.80000000000001</v>
      </c>
      <c r="F47" s="13">
        <v>125.3</v>
      </c>
      <c r="G47" s="13">
        <v>990.2</v>
      </c>
      <c r="H47" s="13">
        <v>290.29999999999995</v>
      </c>
      <c r="I47" s="30">
        <v>280.14999999999998</v>
      </c>
      <c r="J47" s="13">
        <v>139.1</v>
      </c>
    </row>
    <row r="48" spans="1:10">
      <c r="A48" s="13" t="s">
        <v>33</v>
      </c>
      <c r="B48" s="13">
        <v>2018</v>
      </c>
      <c r="C48" s="13" t="s">
        <v>37</v>
      </c>
      <c r="D48" s="13">
        <v>1720.0000000000002</v>
      </c>
      <c r="E48" s="13">
        <v>124.6</v>
      </c>
      <c r="F48" s="13">
        <v>118.9</v>
      </c>
      <c r="G48" s="13">
        <v>927.59999999999991</v>
      </c>
      <c r="H48" s="13">
        <v>287.39999999999998</v>
      </c>
      <c r="I48" s="30">
        <v>274.70000000000005</v>
      </c>
      <c r="J48" s="13">
        <v>134.80000000000001</v>
      </c>
    </row>
    <row r="49" spans="1:10">
      <c r="A49" s="13" t="s">
        <v>34</v>
      </c>
      <c r="B49" s="13">
        <v>2018</v>
      </c>
      <c r="C49" s="13" t="s">
        <v>37</v>
      </c>
      <c r="D49" s="13">
        <v>1757.1000000000001</v>
      </c>
      <c r="E49" s="13">
        <v>136.5</v>
      </c>
      <c r="F49" s="13">
        <v>121.9</v>
      </c>
      <c r="G49" s="13">
        <v>963.1</v>
      </c>
      <c r="H49" s="13">
        <v>288.20000000000005</v>
      </c>
      <c r="I49" s="30">
        <v>279.5</v>
      </c>
      <c r="J49" s="13">
        <v>137.1</v>
      </c>
    </row>
    <row r="50" spans="1:10">
      <c r="A50" s="13" t="s">
        <v>30</v>
      </c>
      <c r="B50" s="13">
        <v>2018</v>
      </c>
      <c r="C50" s="13" t="s">
        <v>38</v>
      </c>
      <c r="D50" s="13">
        <v>1782.4</v>
      </c>
      <c r="E50" s="13">
        <v>144.30000000000001</v>
      </c>
      <c r="F50" s="13">
        <v>126.4</v>
      </c>
      <c r="G50" s="13">
        <v>995.5</v>
      </c>
      <c r="H50" s="13">
        <v>292.10000000000002</v>
      </c>
      <c r="I50" s="30">
        <v>281.05</v>
      </c>
      <c r="J50" s="13">
        <v>139.80000000000001</v>
      </c>
    </row>
    <row r="51" spans="1:10">
      <c r="A51" s="13" t="s">
        <v>33</v>
      </c>
      <c r="B51" s="13">
        <v>2018</v>
      </c>
      <c r="C51" s="13" t="s">
        <v>38</v>
      </c>
      <c r="D51" s="13">
        <v>1722.8999999999999</v>
      </c>
      <c r="E51" s="13">
        <v>124.7</v>
      </c>
      <c r="F51" s="13">
        <v>119.8</v>
      </c>
      <c r="G51" s="13">
        <v>932</v>
      </c>
      <c r="H51" s="13">
        <v>289.20000000000005</v>
      </c>
      <c r="I51" s="30">
        <v>275.7</v>
      </c>
      <c r="J51" s="13">
        <v>135.4</v>
      </c>
    </row>
    <row r="52" spans="1:10">
      <c r="A52" s="13" t="s">
        <v>34</v>
      </c>
      <c r="B52" s="13">
        <v>2018</v>
      </c>
      <c r="C52" s="13" t="s">
        <v>38</v>
      </c>
      <c r="D52" s="13">
        <v>1759.8</v>
      </c>
      <c r="E52" s="13">
        <v>136.9</v>
      </c>
      <c r="F52" s="13">
        <v>122.9</v>
      </c>
      <c r="G52" s="13">
        <v>967.90000000000009</v>
      </c>
      <c r="H52" s="13">
        <v>290</v>
      </c>
      <c r="I52" s="30">
        <v>280.60000000000002</v>
      </c>
      <c r="J52" s="13">
        <v>137.80000000000001</v>
      </c>
    </row>
    <row r="53" spans="1:10">
      <c r="A53" s="13" t="s">
        <v>30</v>
      </c>
      <c r="B53" s="13">
        <v>2018</v>
      </c>
      <c r="C53" s="13" t="s">
        <v>39</v>
      </c>
      <c r="D53" s="13">
        <v>1790.2999999999997</v>
      </c>
      <c r="E53" s="13">
        <v>145.1</v>
      </c>
      <c r="F53" s="13">
        <v>127.4</v>
      </c>
      <c r="G53" s="13">
        <v>999.00000000000011</v>
      </c>
      <c r="H53" s="13">
        <v>292.89999999999998</v>
      </c>
      <c r="I53" s="30">
        <v>281.45</v>
      </c>
      <c r="J53" s="13">
        <v>140.5</v>
      </c>
    </row>
    <row r="54" spans="1:10">
      <c r="A54" s="13" t="s">
        <v>33</v>
      </c>
      <c r="B54" s="13">
        <v>2018</v>
      </c>
      <c r="C54" s="13" t="s">
        <v>39</v>
      </c>
      <c r="D54" s="13">
        <v>1747.3000000000002</v>
      </c>
      <c r="E54" s="13">
        <v>126.5</v>
      </c>
      <c r="F54" s="13">
        <v>120.4</v>
      </c>
      <c r="G54" s="13">
        <v>935.5</v>
      </c>
      <c r="H54" s="13">
        <v>290.5</v>
      </c>
      <c r="I54" s="30">
        <v>275.60000000000002</v>
      </c>
      <c r="J54" s="13">
        <v>136.19999999999999</v>
      </c>
    </row>
    <row r="55" spans="1:10">
      <c r="A55" s="13" t="s">
        <v>34</v>
      </c>
      <c r="B55" s="13">
        <v>2018</v>
      </c>
      <c r="C55" s="13" t="s">
        <v>39</v>
      </c>
      <c r="D55" s="13">
        <v>1774.1000000000001</v>
      </c>
      <c r="E55" s="13">
        <v>138.1</v>
      </c>
      <c r="F55" s="13">
        <v>123.7</v>
      </c>
      <c r="G55" s="13">
        <v>971.39999999999986</v>
      </c>
      <c r="H55" s="13">
        <v>290.89999999999998</v>
      </c>
      <c r="I55" s="30">
        <v>280.39999999999998</v>
      </c>
      <c r="J55" s="13">
        <v>138.5</v>
      </c>
    </row>
    <row r="56" spans="1:10">
      <c r="A56" s="13" t="s">
        <v>30</v>
      </c>
      <c r="B56" s="13">
        <v>2018</v>
      </c>
      <c r="C56" s="13" t="s">
        <v>40</v>
      </c>
      <c r="D56" s="13">
        <v>1810.5000000000002</v>
      </c>
      <c r="E56" s="13">
        <v>146.80000000000001</v>
      </c>
      <c r="F56" s="13">
        <v>127.5</v>
      </c>
      <c r="G56" s="13">
        <v>1001.8</v>
      </c>
      <c r="H56" s="13">
        <v>292.10000000000002</v>
      </c>
      <c r="I56" s="30">
        <v>282.35000000000002</v>
      </c>
      <c r="J56" s="13">
        <v>141.80000000000001</v>
      </c>
    </row>
    <row r="57" spans="1:10">
      <c r="A57" s="13" t="s">
        <v>33</v>
      </c>
      <c r="B57" s="13">
        <v>2018</v>
      </c>
      <c r="C57" s="13" t="s">
        <v>40</v>
      </c>
      <c r="D57" s="13">
        <v>1771.1</v>
      </c>
      <c r="E57" s="13">
        <v>128.1</v>
      </c>
      <c r="F57" s="13">
        <v>120.1</v>
      </c>
      <c r="G57" s="13">
        <v>941.2</v>
      </c>
      <c r="H57" s="13">
        <v>291.60000000000002</v>
      </c>
      <c r="I57" s="30">
        <v>277.2</v>
      </c>
      <c r="J57" s="13">
        <v>137.5</v>
      </c>
    </row>
    <row r="58" spans="1:10">
      <c r="A58" s="13" t="s">
        <v>34</v>
      </c>
      <c r="B58" s="13">
        <v>2018</v>
      </c>
      <c r="C58" s="13" t="s">
        <v>40</v>
      </c>
      <c r="D58" s="13">
        <v>1795.3</v>
      </c>
      <c r="E58" s="13">
        <v>139.69999999999999</v>
      </c>
      <c r="F58" s="13">
        <v>123.6</v>
      </c>
      <c r="G58" s="13">
        <v>975.69999999999982</v>
      </c>
      <c r="H58" s="13">
        <v>290.7</v>
      </c>
      <c r="I58" s="30">
        <v>282.2</v>
      </c>
      <c r="J58" s="13">
        <v>139.80000000000001</v>
      </c>
    </row>
    <row r="59" spans="1:10">
      <c r="A59" s="13" t="s">
        <v>30</v>
      </c>
      <c r="B59" s="13">
        <v>2018</v>
      </c>
      <c r="C59" s="13" t="s">
        <v>41</v>
      </c>
      <c r="D59" s="13">
        <v>1818.8</v>
      </c>
      <c r="E59" s="13">
        <v>147.69999999999999</v>
      </c>
      <c r="F59" s="13">
        <v>128.30000000000001</v>
      </c>
      <c r="G59" s="13">
        <v>1005.4</v>
      </c>
      <c r="H59" s="13">
        <v>293</v>
      </c>
      <c r="I59" s="30">
        <v>283.05</v>
      </c>
      <c r="J59" s="13">
        <v>142.5</v>
      </c>
    </row>
    <row r="60" spans="1:10">
      <c r="A60" s="13" t="s">
        <v>33</v>
      </c>
      <c r="B60" s="13">
        <v>2018</v>
      </c>
      <c r="C60" s="13" t="s">
        <v>41</v>
      </c>
      <c r="D60" s="13">
        <v>1767.6</v>
      </c>
      <c r="E60" s="13">
        <v>129.80000000000001</v>
      </c>
      <c r="F60" s="13">
        <v>120.7</v>
      </c>
      <c r="G60" s="13">
        <v>945.60000000000014</v>
      </c>
      <c r="H60" s="13">
        <v>293.10000000000002</v>
      </c>
      <c r="I60" s="30">
        <v>279</v>
      </c>
      <c r="J60" s="13">
        <v>138</v>
      </c>
    </row>
    <row r="61" spans="1:10">
      <c r="A61" s="13" t="s">
        <v>34</v>
      </c>
      <c r="B61" s="13">
        <v>2018</v>
      </c>
      <c r="C61" s="13" t="s">
        <v>41</v>
      </c>
      <c r="D61" s="13">
        <v>1798.7000000000003</v>
      </c>
      <c r="E61" s="13">
        <v>140.9</v>
      </c>
      <c r="F61" s="13">
        <v>124.3</v>
      </c>
      <c r="G61" s="13">
        <v>979.59999999999991</v>
      </c>
      <c r="H61" s="13">
        <v>291.8</v>
      </c>
      <c r="I61" s="30">
        <v>284</v>
      </c>
      <c r="J61" s="13">
        <v>140.4</v>
      </c>
    </row>
    <row r="62" spans="1:10">
      <c r="A62" s="13" t="s">
        <v>30</v>
      </c>
      <c r="B62" s="13">
        <v>2018</v>
      </c>
      <c r="C62" s="13" t="s">
        <v>42</v>
      </c>
      <c r="D62" s="13">
        <v>1799.8000000000002</v>
      </c>
      <c r="E62" s="13">
        <v>149</v>
      </c>
      <c r="F62" s="13">
        <v>129.9</v>
      </c>
      <c r="G62" s="13">
        <v>1009.1</v>
      </c>
      <c r="H62" s="13">
        <v>295.10000000000002</v>
      </c>
      <c r="I62" s="30">
        <v>283.25</v>
      </c>
      <c r="J62" s="13">
        <v>142.1</v>
      </c>
    </row>
    <row r="63" spans="1:10">
      <c r="A63" s="13" t="s">
        <v>33</v>
      </c>
      <c r="B63" s="13">
        <v>2018</v>
      </c>
      <c r="C63" s="13" t="s">
        <v>42</v>
      </c>
      <c r="D63" s="13">
        <v>1748.4</v>
      </c>
      <c r="E63" s="13">
        <v>131.19999999999999</v>
      </c>
      <c r="F63" s="13">
        <v>122.5</v>
      </c>
      <c r="G63" s="13">
        <v>949.59999999999991</v>
      </c>
      <c r="H63" s="13">
        <v>295.20000000000005</v>
      </c>
      <c r="I63" s="30">
        <v>280.20000000000005</v>
      </c>
      <c r="J63" s="13">
        <v>138.1</v>
      </c>
    </row>
    <row r="64" spans="1:10">
      <c r="A64" s="13" t="s">
        <v>34</v>
      </c>
      <c r="B64" s="13">
        <v>2018</v>
      </c>
      <c r="C64" s="13" t="s">
        <v>42</v>
      </c>
      <c r="D64" s="13">
        <v>1779.5</v>
      </c>
      <c r="E64" s="13">
        <v>142.30000000000001</v>
      </c>
      <c r="F64" s="13">
        <v>126</v>
      </c>
      <c r="G64" s="13">
        <v>983.3</v>
      </c>
      <c r="H64" s="13">
        <v>293.89999999999998</v>
      </c>
      <c r="I64" s="30">
        <v>285</v>
      </c>
      <c r="J64" s="13">
        <v>140.19999999999999</v>
      </c>
    </row>
    <row r="65" spans="1:10">
      <c r="A65" s="13" t="s">
        <v>30</v>
      </c>
      <c r="B65" s="13">
        <v>2018</v>
      </c>
      <c r="C65" s="13" t="s">
        <v>43</v>
      </c>
      <c r="D65" s="13">
        <v>1782.2</v>
      </c>
      <c r="E65" s="13">
        <v>149.69999999999999</v>
      </c>
      <c r="F65" s="13">
        <v>130.80000000000001</v>
      </c>
      <c r="G65" s="13">
        <v>1012.3</v>
      </c>
      <c r="H65" s="13">
        <v>299.39999999999998</v>
      </c>
      <c r="I65" s="30">
        <v>286.75</v>
      </c>
      <c r="J65" s="13">
        <v>142.19999999999999</v>
      </c>
    </row>
    <row r="66" spans="1:10">
      <c r="A66" s="13" t="s">
        <v>33</v>
      </c>
      <c r="B66" s="13">
        <v>2018</v>
      </c>
      <c r="C66" s="13" t="s">
        <v>43</v>
      </c>
      <c r="D66" s="13">
        <v>1754.1</v>
      </c>
      <c r="E66" s="13">
        <v>133.4</v>
      </c>
      <c r="F66" s="13">
        <v>123.3</v>
      </c>
      <c r="G66" s="13">
        <v>953.8</v>
      </c>
      <c r="H66" s="13">
        <v>296.5</v>
      </c>
      <c r="I66" s="30">
        <v>281.39999999999998</v>
      </c>
      <c r="J66" s="13">
        <v>138.9</v>
      </c>
    </row>
    <row r="67" spans="1:10">
      <c r="A67" s="13" t="s">
        <v>34</v>
      </c>
      <c r="B67" s="13">
        <v>2018</v>
      </c>
      <c r="C67" s="13" t="s">
        <v>43</v>
      </c>
      <c r="D67" s="13">
        <v>1776.2</v>
      </c>
      <c r="E67" s="13">
        <v>145.30000000000001</v>
      </c>
      <c r="F67" s="13">
        <v>125.5</v>
      </c>
      <c r="G67" s="13">
        <v>992.39999999999986</v>
      </c>
      <c r="H67" s="13">
        <v>298.89999999999998</v>
      </c>
      <c r="I67" s="30">
        <v>289.10000000000002</v>
      </c>
      <c r="J67" s="13">
        <v>140.80000000000001</v>
      </c>
    </row>
    <row r="68" spans="1:10">
      <c r="A68" s="13" t="s">
        <v>30</v>
      </c>
      <c r="B68" s="13">
        <v>2018</v>
      </c>
      <c r="C68" s="13" t="s">
        <v>45</v>
      </c>
      <c r="D68" s="13">
        <v>1787.4999999999995</v>
      </c>
      <c r="E68" s="13">
        <v>150.30000000000001</v>
      </c>
      <c r="F68" s="13">
        <v>130.30000000000001</v>
      </c>
      <c r="G68" s="13">
        <v>1019.8</v>
      </c>
      <c r="H68" s="13">
        <v>302</v>
      </c>
      <c r="I68" s="30">
        <v>287.25</v>
      </c>
      <c r="J68" s="13">
        <v>142.4</v>
      </c>
    </row>
    <row r="69" spans="1:10">
      <c r="A69" s="13" t="s">
        <v>33</v>
      </c>
      <c r="B69" s="13">
        <v>2018</v>
      </c>
      <c r="C69" s="13" t="s">
        <v>45</v>
      </c>
      <c r="D69" s="13">
        <v>1757.4999999999998</v>
      </c>
      <c r="E69" s="13">
        <v>136.69999999999999</v>
      </c>
      <c r="F69" s="13">
        <v>121.2</v>
      </c>
      <c r="G69" s="13">
        <v>957.80000000000007</v>
      </c>
      <c r="H69" s="13">
        <v>296.60000000000002</v>
      </c>
      <c r="I69" s="30">
        <v>282.70000000000005</v>
      </c>
      <c r="J69" s="13">
        <v>139</v>
      </c>
    </row>
    <row r="70" spans="1:10">
      <c r="A70" s="13" t="s">
        <v>34</v>
      </c>
      <c r="B70" s="13">
        <v>2018</v>
      </c>
      <c r="C70" s="13" t="s">
        <v>45</v>
      </c>
      <c r="D70" s="13">
        <v>1775.7000000000003</v>
      </c>
      <c r="E70" s="13">
        <v>145.1</v>
      </c>
      <c r="F70" s="13">
        <v>125.5</v>
      </c>
      <c r="G70" s="13">
        <v>992.2</v>
      </c>
      <c r="H70" s="13">
        <v>298.89999999999998</v>
      </c>
      <c r="I70" s="30">
        <v>289.10000000000002</v>
      </c>
      <c r="J70" s="13">
        <v>140.80000000000001</v>
      </c>
    </row>
    <row r="71" spans="1:10">
      <c r="A71" s="13" t="s">
        <v>30</v>
      </c>
      <c r="B71" s="13">
        <v>2018</v>
      </c>
      <c r="C71" s="13" t="s">
        <v>46</v>
      </c>
      <c r="D71" s="13">
        <v>1773.1000000000001</v>
      </c>
      <c r="E71" s="13">
        <v>149</v>
      </c>
      <c r="F71" s="13">
        <v>128.9</v>
      </c>
      <c r="G71" s="13">
        <v>1029.5</v>
      </c>
      <c r="H71" s="13">
        <v>304</v>
      </c>
      <c r="I71" s="30">
        <v>288.75</v>
      </c>
      <c r="J71" s="13">
        <v>141.9</v>
      </c>
    </row>
    <row r="72" spans="1:10">
      <c r="A72" s="13" t="s">
        <v>33</v>
      </c>
      <c r="B72" s="13">
        <v>2018</v>
      </c>
      <c r="C72" s="13" t="s">
        <v>46</v>
      </c>
      <c r="D72" s="13">
        <v>1746.6</v>
      </c>
      <c r="E72" s="13">
        <v>132.4</v>
      </c>
      <c r="F72" s="13">
        <v>118.8</v>
      </c>
      <c r="G72" s="13">
        <v>960.09999999999991</v>
      </c>
      <c r="H72" s="13">
        <v>296.29999999999995</v>
      </c>
      <c r="I72" s="30">
        <v>282.7</v>
      </c>
      <c r="J72" s="13">
        <v>138</v>
      </c>
    </row>
    <row r="73" spans="1:10">
      <c r="A73" s="13" t="s">
        <v>34</v>
      </c>
      <c r="B73" s="13">
        <v>2018</v>
      </c>
      <c r="C73" s="13" t="s">
        <v>46</v>
      </c>
      <c r="D73" s="13">
        <v>1762.7999999999997</v>
      </c>
      <c r="E73" s="13">
        <v>142.69999999999999</v>
      </c>
      <c r="F73" s="13">
        <v>123.6</v>
      </c>
      <c r="G73" s="13">
        <v>998.30000000000007</v>
      </c>
      <c r="H73" s="13">
        <v>299.8</v>
      </c>
      <c r="I73" s="30">
        <v>289.7</v>
      </c>
      <c r="J73" s="13">
        <v>140.1</v>
      </c>
    </row>
    <row r="74" spans="1:10">
      <c r="A74" s="13" t="s">
        <v>30</v>
      </c>
      <c r="B74" s="13">
        <v>2019</v>
      </c>
      <c r="C74" s="13" t="s">
        <v>31</v>
      </c>
      <c r="D74" s="13">
        <v>1759.6000000000001</v>
      </c>
      <c r="E74" s="13">
        <v>146.19999999999999</v>
      </c>
      <c r="F74" s="13">
        <v>128.6</v>
      </c>
      <c r="G74" s="13">
        <v>1026.8</v>
      </c>
      <c r="H74" s="13">
        <v>304.39999999999998</v>
      </c>
      <c r="I74" s="30">
        <v>289.35000000000002</v>
      </c>
      <c r="J74" s="13">
        <v>141</v>
      </c>
    </row>
    <row r="75" spans="1:10">
      <c r="A75" s="13" t="s">
        <v>33</v>
      </c>
      <c r="B75" s="13">
        <v>2019</v>
      </c>
      <c r="C75" s="13" t="s">
        <v>31</v>
      </c>
      <c r="D75" s="13">
        <v>1744.3000000000002</v>
      </c>
      <c r="E75" s="13">
        <v>128.6</v>
      </c>
      <c r="F75" s="13">
        <v>118.6</v>
      </c>
      <c r="G75" s="13">
        <v>962.5</v>
      </c>
      <c r="H75" s="13">
        <v>296.5</v>
      </c>
      <c r="I75" s="30">
        <v>284</v>
      </c>
      <c r="J75" s="13">
        <v>138</v>
      </c>
    </row>
    <row r="76" spans="1:10">
      <c r="A76" s="13" t="s">
        <v>34</v>
      </c>
      <c r="B76" s="13">
        <v>2019</v>
      </c>
      <c r="C76" s="13" t="s">
        <v>31</v>
      </c>
      <c r="D76" s="13">
        <v>1753.3999999999999</v>
      </c>
      <c r="E76" s="13">
        <v>139.5</v>
      </c>
      <c r="F76" s="13">
        <v>123.3</v>
      </c>
      <c r="G76" s="13">
        <v>997.8</v>
      </c>
      <c r="H76" s="13">
        <v>300.10000000000002</v>
      </c>
      <c r="I76" s="30">
        <v>291.29999999999995</v>
      </c>
      <c r="J76" s="13">
        <v>139.6</v>
      </c>
    </row>
    <row r="77" spans="1:10">
      <c r="A77" s="13" t="s">
        <v>30</v>
      </c>
      <c r="B77" s="13">
        <v>2019</v>
      </c>
      <c r="C77" s="13" t="s">
        <v>35</v>
      </c>
      <c r="D77" s="13">
        <v>1759.8000000000002</v>
      </c>
      <c r="E77" s="13">
        <v>145.30000000000001</v>
      </c>
      <c r="F77" s="13">
        <v>129.19999999999999</v>
      </c>
      <c r="G77" s="13">
        <v>1030.2</v>
      </c>
      <c r="H77" s="13">
        <v>305</v>
      </c>
      <c r="I77" s="30">
        <v>289.35000000000002</v>
      </c>
      <c r="J77" s="13">
        <v>141</v>
      </c>
    </row>
    <row r="78" spans="1:10">
      <c r="A78" s="13" t="s">
        <v>33</v>
      </c>
      <c r="B78" s="13">
        <v>2019</v>
      </c>
      <c r="C78" s="13" t="s">
        <v>35</v>
      </c>
      <c r="D78" s="13">
        <v>1754.4</v>
      </c>
      <c r="E78" s="13">
        <v>127.1</v>
      </c>
      <c r="F78" s="13">
        <v>119.2</v>
      </c>
      <c r="G78" s="13">
        <v>965.80000000000007</v>
      </c>
      <c r="H78" s="13">
        <v>297.3</v>
      </c>
      <c r="I78" s="30">
        <v>285.10000000000002</v>
      </c>
      <c r="J78" s="13">
        <v>138.6</v>
      </c>
    </row>
    <row r="79" spans="1:10">
      <c r="A79" s="13" t="s">
        <v>34</v>
      </c>
      <c r="B79" s="13">
        <v>2019</v>
      </c>
      <c r="C79" s="13" t="s">
        <v>35</v>
      </c>
      <c r="D79" s="13">
        <v>1757.1</v>
      </c>
      <c r="E79" s="13">
        <v>138.4</v>
      </c>
      <c r="F79" s="13">
        <v>123.9</v>
      </c>
      <c r="G79" s="13">
        <v>1001</v>
      </c>
      <c r="H79" s="13">
        <v>300.8</v>
      </c>
      <c r="I79" s="30">
        <v>292.2</v>
      </c>
      <c r="J79" s="13">
        <v>139.9</v>
      </c>
    </row>
    <row r="80" spans="1:10">
      <c r="A80" s="13" t="s">
        <v>30</v>
      </c>
      <c r="B80" s="13">
        <v>2019</v>
      </c>
      <c r="C80" s="13" t="s">
        <v>36</v>
      </c>
      <c r="D80" s="13">
        <v>1761.2000000000003</v>
      </c>
      <c r="E80" s="13">
        <v>146.4</v>
      </c>
      <c r="F80" s="13">
        <v>129.9</v>
      </c>
      <c r="G80" s="13">
        <v>1030.6999999999998</v>
      </c>
      <c r="H80" s="13">
        <v>305.3</v>
      </c>
      <c r="I80" s="30">
        <v>289.25</v>
      </c>
      <c r="J80" s="13">
        <v>141.19999999999999</v>
      </c>
    </row>
    <row r="81" spans="1:10">
      <c r="A81" s="13" t="s">
        <v>33</v>
      </c>
      <c r="B81" s="13">
        <v>2019</v>
      </c>
      <c r="C81" s="13" t="s">
        <v>36</v>
      </c>
      <c r="D81" s="13">
        <v>1768.4</v>
      </c>
      <c r="E81" s="13">
        <v>128.80000000000001</v>
      </c>
      <c r="F81" s="13">
        <v>119.9</v>
      </c>
      <c r="G81" s="13">
        <v>967.7</v>
      </c>
      <c r="H81" s="13">
        <v>298.10000000000002</v>
      </c>
      <c r="I81" s="30">
        <v>285.8</v>
      </c>
      <c r="J81" s="13">
        <v>139.5</v>
      </c>
    </row>
    <row r="82" spans="1:10">
      <c r="A82" s="13" t="s">
        <v>34</v>
      </c>
      <c r="B82" s="13">
        <v>2019</v>
      </c>
      <c r="C82" s="13" t="s">
        <v>36</v>
      </c>
      <c r="D82" s="13">
        <v>1762.9</v>
      </c>
      <c r="E82" s="13">
        <v>139.69999999999999</v>
      </c>
      <c r="F82" s="13">
        <v>124.6</v>
      </c>
      <c r="G82" s="13">
        <v>1002.0999999999999</v>
      </c>
      <c r="H82" s="13">
        <v>301.2</v>
      </c>
      <c r="I82" s="30">
        <v>292.8</v>
      </c>
      <c r="J82" s="13">
        <v>140.4</v>
      </c>
    </row>
    <row r="83" spans="1:10">
      <c r="A83" s="13" t="s">
        <v>30</v>
      </c>
      <c r="B83" s="13">
        <v>2019</v>
      </c>
      <c r="C83" s="13" t="s">
        <v>38</v>
      </c>
      <c r="D83" s="13">
        <v>1782.1000000000001</v>
      </c>
      <c r="E83" s="13">
        <v>146.9</v>
      </c>
      <c r="F83" s="13">
        <v>130.19999999999999</v>
      </c>
      <c r="G83" s="13">
        <v>1036.3999999999999</v>
      </c>
      <c r="H83" s="13">
        <v>306.20000000000005</v>
      </c>
      <c r="I83" s="30">
        <v>288.75</v>
      </c>
      <c r="J83" s="13">
        <v>142.4</v>
      </c>
    </row>
    <row r="84" spans="1:10">
      <c r="A84" s="13" t="s">
        <v>33</v>
      </c>
      <c r="B84" s="13">
        <v>2019</v>
      </c>
      <c r="C84" s="13" t="s">
        <v>38</v>
      </c>
      <c r="D84" s="13">
        <v>1811.5000000000002</v>
      </c>
      <c r="E84" s="13">
        <v>129.4</v>
      </c>
      <c r="F84" s="13">
        <v>120.1</v>
      </c>
      <c r="G84" s="13">
        <v>972.3</v>
      </c>
      <c r="H84" s="13">
        <v>299.5</v>
      </c>
      <c r="I84" s="30">
        <v>287.29999999999995</v>
      </c>
      <c r="J84" s="13">
        <v>141.5</v>
      </c>
    </row>
    <row r="85" spans="1:10">
      <c r="A85" s="13" t="s">
        <v>34</v>
      </c>
      <c r="B85" s="13">
        <v>2019</v>
      </c>
      <c r="C85" s="13" t="s">
        <v>38</v>
      </c>
      <c r="D85" s="13">
        <v>1791.9000000000003</v>
      </c>
      <c r="E85" s="13">
        <v>140.30000000000001</v>
      </c>
      <c r="F85" s="13">
        <v>124.9</v>
      </c>
      <c r="G85" s="13">
        <v>1007.2</v>
      </c>
      <c r="H85" s="13">
        <v>302.29999999999995</v>
      </c>
      <c r="I85" s="30">
        <v>293.79999999999995</v>
      </c>
      <c r="J85" s="13">
        <v>142</v>
      </c>
    </row>
    <row r="86" spans="1:10">
      <c r="A86" s="13" t="s">
        <v>30</v>
      </c>
      <c r="B86" s="13">
        <v>2019</v>
      </c>
      <c r="C86" s="13" t="s">
        <v>39</v>
      </c>
      <c r="D86" s="13">
        <v>1804.1999999999998</v>
      </c>
      <c r="E86" s="13">
        <v>147.80000000000001</v>
      </c>
      <c r="F86" s="13">
        <v>130.19999999999999</v>
      </c>
      <c r="G86" s="13">
        <v>1039.2</v>
      </c>
      <c r="H86" s="13">
        <v>307.5</v>
      </c>
      <c r="I86" s="30">
        <v>288.85000000000002</v>
      </c>
      <c r="J86" s="13">
        <v>143.6</v>
      </c>
    </row>
    <row r="87" spans="1:10">
      <c r="A87" s="13" t="s">
        <v>33</v>
      </c>
      <c r="B87" s="13">
        <v>2019</v>
      </c>
      <c r="C87" s="13" t="s">
        <v>39</v>
      </c>
      <c r="D87" s="13">
        <v>1833.2999999999997</v>
      </c>
      <c r="E87" s="13">
        <v>130.5</v>
      </c>
      <c r="F87" s="13">
        <v>119.6</v>
      </c>
      <c r="G87" s="13">
        <v>975.6</v>
      </c>
      <c r="H87" s="13">
        <v>300.29999999999995</v>
      </c>
      <c r="I87" s="30">
        <v>286.8</v>
      </c>
      <c r="J87" s="13">
        <v>142.1</v>
      </c>
    </row>
    <row r="88" spans="1:10">
      <c r="A88" s="13" t="s">
        <v>34</v>
      </c>
      <c r="B88" s="13">
        <v>2019</v>
      </c>
      <c r="C88" s="13" t="s">
        <v>39</v>
      </c>
      <c r="D88" s="13">
        <v>1814.1000000000001</v>
      </c>
      <c r="E88" s="13">
        <v>141.19999999999999</v>
      </c>
      <c r="F88" s="13">
        <v>124.6</v>
      </c>
      <c r="G88" s="13">
        <v>1010.1999999999999</v>
      </c>
      <c r="H88" s="13">
        <v>303.5</v>
      </c>
      <c r="I88" s="30">
        <v>293.20000000000005</v>
      </c>
      <c r="J88" s="13">
        <v>142.9</v>
      </c>
    </row>
    <row r="89" spans="1:10">
      <c r="A89" s="13" t="s">
        <v>30</v>
      </c>
      <c r="B89" s="13">
        <v>2019</v>
      </c>
      <c r="C89" s="13" t="s">
        <v>40</v>
      </c>
      <c r="D89" s="13">
        <v>1826.8999999999999</v>
      </c>
      <c r="E89" s="13">
        <v>146.80000000000001</v>
      </c>
      <c r="F89" s="13">
        <v>131.19999999999999</v>
      </c>
      <c r="G89" s="13">
        <v>1044</v>
      </c>
      <c r="H89" s="13">
        <v>308.7</v>
      </c>
      <c r="I89" s="30">
        <v>289.25</v>
      </c>
      <c r="J89" s="13">
        <v>144.9</v>
      </c>
    </row>
    <row r="90" spans="1:10">
      <c r="A90" s="13" t="s">
        <v>33</v>
      </c>
      <c r="B90" s="13">
        <v>2019</v>
      </c>
      <c r="C90" s="13" t="s">
        <v>40</v>
      </c>
      <c r="D90" s="13">
        <v>1857.3999999999999</v>
      </c>
      <c r="E90" s="13">
        <v>127</v>
      </c>
      <c r="F90" s="13">
        <v>120.6</v>
      </c>
      <c r="G90" s="13">
        <v>980.59999999999991</v>
      </c>
      <c r="H90" s="13">
        <v>301.7</v>
      </c>
      <c r="I90" s="30">
        <v>288.29999999999995</v>
      </c>
      <c r="J90" s="13">
        <v>143.30000000000001</v>
      </c>
    </row>
    <row r="91" spans="1:10">
      <c r="A91" s="13" t="s">
        <v>34</v>
      </c>
      <c r="B91" s="13">
        <v>2019</v>
      </c>
      <c r="C91" s="13" t="s">
        <v>40</v>
      </c>
      <c r="D91" s="13">
        <v>1837.5</v>
      </c>
      <c r="E91" s="13">
        <v>139.30000000000001</v>
      </c>
      <c r="F91" s="13">
        <v>125.6</v>
      </c>
      <c r="G91" s="13">
        <v>1015.0999999999999</v>
      </c>
      <c r="H91" s="13">
        <v>304.7</v>
      </c>
      <c r="I91" s="30">
        <v>294.79999999999995</v>
      </c>
      <c r="J91" s="13">
        <v>144.19999999999999</v>
      </c>
    </row>
    <row r="92" spans="1:10">
      <c r="A92" s="13" t="s">
        <v>30</v>
      </c>
      <c r="B92" s="13">
        <v>2019</v>
      </c>
      <c r="C92" s="13" t="s">
        <v>41</v>
      </c>
      <c r="D92" s="13">
        <v>1834.5000000000002</v>
      </c>
      <c r="E92" s="13">
        <v>146.4</v>
      </c>
      <c r="F92" s="13">
        <v>131.4</v>
      </c>
      <c r="G92" s="13">
        <v>1048.6999999999998</v>
      </c>
      <c r="H92" s="13">
        <v>310</v>
      </c>
      <c r="I92" s="30">
        <v>289.45</v>
      </c>
      <c r="J92" s="13">
        <v>145.69999999999999</v>
      </c>
    </row>
    <row r="93" spans="1:10">
      <c r="A93" s="13" t="s">
        <v>33</v>
      </c>
      <c r="B93" s="13">
        <v>2019</v>
      </c>
      <c r="C93" s="13" t="s">
        <v>41</v>
      </c>
      <c r="D93" s="13">
        <v>1869.1</v>
      </c>
      <c r="E93" s="13">
        <v>125.5</v>
      </c>
      <c r="F93" s="13">
        <v>120.8</v>
      </c>
      <c r="G93" s="13">
        <v>986.40000000000009</v>
      </c>
      <c r="H93" s="13">
        <v>303.20000000000005</v>
      </c>
      <c r="I93" s="30">
        <v>289.7</v>
      </c>
      <c r="J93" s="13">
        <v>144.19999999999999</v>
      </c>
    </row>
    <row r="94" spans="1:10">
      <c r="A94" s="13" t="s">
        <v>34</v>
      </c>
      <c r="B94" s="13">
        <v>2019</v>
      </c>
      <c r="C94" s="13" t="s">
        <v>41</v>
      </c>
      <c r="D94" s="13">
        <v>1846.5</v>
      </c>
      <c r="E94" s="13">
        <v>138.5</v>
      </c>
      <c r="F94" s="13">
        <v>125.8</v>
      </c>
      <c r="G94" s="13">
        <v>1020.3000000000001</v>
      </c>
      <c r="H94" s="13">
        <v>306</v>
      </c>
      <c r="I94" s="30">
        <v>296.10000000000002</v>
      </c>
      <c r="J94" s="13">
        <v>145</v>
      </c>
    </row>
    <row r="95" spans="1:10">
      <c r="A95" s="13" t="s">
        <v>30</v>
      </c>
      <c r="B95" s="13">
        <v>2019</v>
      </c>
      <c r="C95" s="13" t="s">
        <v>42</v>
      </c>
      <c r="D95" s="13">
        <v>1848.7</v>
      </c>
      <c r="E95" s="13">
        <v>146.9</v>
      </c>
      <c r="F95" s="13">
        <v>131.6</v>
      </c>
      <c r="G95" s="13">
        <v>1051.3999999999999</v>
      </c>
      <c r="H95" s="13">
        <v>311.10000000000002</v>
      </c>
      <c r="I95" s="30">
        <v>289.55</v>
      </c>
      <c r="J95" s="13">
        <v>146.69999999999999</v>
      </c>
    </row>
    <row r="96" spans="1:10">
      <c r="A96" s="13" t="s">
        <v>33</v>
      </c>
      <c r="B96" s="13">
        <v>2019</v>
      </c>
      <c r="C96" s="13" t="s">
        <v>42</v>
      </c>
      <c r="D96" s="13">
        <v>1874.9</v>
      </c>
      <c r="E96" s="13">
        <v>126.6</v>
      </c>
      <c r="F96" s="13">
        <v>121.2</v>
      </c>
      <c r="G96" s="13">
        <v>989.20000000000016</v>
      </c>
      <c r="H96" s="13">
        <v>304.29999999999995</v>
      </c>
      <c r="I96" s="30">
        <v>290.5</v>
      </c>
      <c r="J96" s="13">
        <v>144.69999999999999</v>
      </c>
    </row>
    <row r="97" spans="1:10">
      <c r="A97" s="13" t="s">
        <v>34</v>
      </c>
      <c r="B97" s="13">
        <v>2019</v>
      </c>
      <c r="C97" s="13" t="s">
        <v>42</v>
      </c>
      <c r="D97" s="13">
        <v>1857.6999999999998</v>
      </c>
      <c r="E97" s="13">
        <v>139.19999999999999</v>
      </c>
      <c r="F97" s="13">
        <v>126.1</v>
      </c>
      <c r="G97" s="13">
        <v>1022.8999999999999</v>
      </c>
      <c r="H97" s="13">
        <v>307.2</v>
      </c>
      <c r="I97" s="30">
        <v>296.79999999999995</v>
      </c>
      <c r="J97" s="13">
        <v>145.80000000000001</v>
      </c>
    </row>
    <row r="98" spans="1:10">
      <c r="A98" s="13" t="s">
        <v>30</v>
      </c>
      <c r="B98" s="13">
        <v>2019</v>
      </c>
      <c r="C98" s="13" t="s">
        <v>43</v>
      </c>
      <c r="D98" s="13">
        <v>1876.8999999999996</v>
      </c>
      <c r="E98" s="13">
        <v>147.69999999999999</v>
      </c>
      <c r="F98" s="13">
        <v>131.69999999999999</v>
      </c>
      <c r="G98" s="13">
        <v>1052.8000000000002</v>
      </c>
      <c r="H98" s="13">
        <v>312</v>
      </c>
      <c r="I98" s="30">
        <v>289.85000000000002</v>
      </c>
      <c r="J98" s="13">
        <v>148.30000000000001</v>
      </c>
    </row>
    <row r="99" spans="1:10">
      <c r="A99" s="13" t="s">
        <v>33</v>
      </c>
      <c r="B99" s="13">
        <v>2019</v>
      </c>
      <c r="C99" s="13" t="s">
        <v>43</v>
      </c>
      <c r="D99" s="13">
        <v>1902.6000000000001</v>
      </c>
      <c r="E99" s="13">
        <v>128.9</v>
      </c>
      <c r="F99" s="13">
        <v>121.5</v>
      </c>
      <c r="G99" s="13">
        <v>992</v>
      </c>
      <c r="H99" s="13">
        <v>305.3</v>
      </c>
      <c r="I99" s="30">
        <v>291.7</v>
      </c>
      <c r="J99" s="13">
        <v>146</v>
      </c>
    </row>
    <row r="100" spans="1:10">
      <c r="A100" s="13" t="s">
        <v>34</v>
      </c>
      <c r="B100" s="13">
        <v>2019</v>
      </c>
      <c r="C100" s="13" t="s">
        <v>43</v>
      </c>
      <c r="D100" s="13">
        <v>1885.5999999999997</v>
      </c>
      <c r="E100" s="13">
        <v>140.6</v>
      </c>
      <c r="F100" s="13">
        <v>126.3</v>
      </c>
      <c r="G100" s="13">
        <v>1024.9000000000001</v>
      </c>
      <c r="H100" s="13">
        <v>308.10000000000002</v>
      </c>
      <c r="I100" s="30">
        <v>298</v>
      </c>
      <c r="J100" s="13">
        <v>147.19999999999999</v>
      </c>
    </row>
    <row r="101" spans="1:10">
      <c r="A101" s="13" t="s">
        <v>30</v>
      </c>
      <c r="B101" s="13">
        <v>2019</v>
      </c>
      <c r="C101" s="13" t="s">
        <v>45</v>
      </c>
      <c r="D101" s="13">
        <v>1904.6000000000001</v>
      </c>
      <c r="E101" s="13">
        <v>148.4</v>
      </c>
      <c r="F101" s="13">
        <v>132.1</v>
      </c>
      <c r="G101" s="13">
        <v>1055.5999999999999</v>
      </c>
      <c r="H101" s="13">
        <v>313.29999999999995</v>
      </c>
      <c r="I101" s="30">
        <v>290.14999999999998</v>
      </c>
      <c r="J101" s="13">
        <v>149.9</v>
      </c>
    </row>
    <row r="102" spans="1:10">
      <c r="A102" s="13" t="s">
        <v>33</v>
      </c>
      <c r="B102" s="13">
        <v>2019</v>
      </c>
      <c r="C102" s="13" t="s">
        <v>45</v>
      </c>
      <c r="D102" s="13">
        <v>1923.9999999999998</v>
      </c>
      <c r="E102" s="13">
        <v>132.19999999999999</v>
      </c>
      <c r="F102" s="13">
        <v>121.7</v>
      </c>
      <c r="G102" s="13">
        <v>994.2</v>
      </c>
      <c r="H102" s="13">
        <v>306.20000000000005</v>
      </c>
      <c r="I102" s="30">
        <v>292.60000000000002</v>
      </c>
      <c r="J102" s="13">
        <v>147</v>
      </c>
    </row>
    <row r="103" spans="1:10">
      <c r="A103" s="13" t="s">
        <v>34</v>
      </c>
      <c r="B103" s="13">
        <v>2019</v>
      </c>
      <c r="C103" s="13" t="s">
        <v>45</v>
      </c>
      <c r="D103" s="13">
        <v>1910.9</v>
      </c>
      <c r="E103" s="13">
        <v>142.30000000000001</v>
      </c>
      <c r="F103" s="13">
        <v>126.6</v>
      </c>
      <c r="G103" s="13">
        <v>1027.3</v>
      </c>
      <c r="H103" s="13">
        <v>309.20000000000005</v>
      </c>
      <c r="I103" s="30">
        <v>298.8</v>
      </c>
      <c r="J103" s="13">
        <v>148.6</v>
      </c>
    </row>
    <row r="104" spans="1:10">
      <c r="A104" s="13" t="s">
        <v>30</v>
      </c>
      <c r="B104" s="13">
        <v>2019</v>
      </c>
      <c r="C104" s="13" t="s">
        <v>46</v>
      </c>
      <c r="D104" s="13">
        <v>1940.9999999999995</v>
      </c>
      <c r="E104" s="13">
        <v>149.9</v>
      </c>
      <c r="F104" s="13">
        <v>135</v>
      </c>
      <c r="G104" s="13">
        <v>1057.8</v>
      </c>
      <c r="H104" s="13">
        <v>314.89999999999998</v>
      </c>
      <c r="I104" s="30">
        <v>290.45</v>
      </c>
      <c r="J104" s="13">
        <v>152.30000000000001</v>
      </c>
    </row>
    <row r="105" spans="1:10">
      <c r="A105" s="13" t="s">
        <v>33</v>
      </c>
      <c r="B105" s="13">
        <v>2019</v>
      </c>
      <c r="C105" s="13" t="s">
        <v>46</v>
      </c>
      <c r="D105" s="13">
        <v>1956.7</v>
      </c>
      <c r="E105" s="13">
        <v>133.6</v>
      </c>
      <c r="F105" s="13">
        <v>125.2</v>
      </c>
      <c r="G105" s="13">
        <v>996.29999999999984</v>
      </c>
      <c r="H105" s="13">
        <v>308.10000000000002</v>
      </c>
      <c r="I105" s="30">
        <v>292.60000000000002</v>
      </c>
      <c r="J105" s="13">
        <v>148.30000000000001</v>
      </c>
    </row>
    <row r="106" spans="1:10">
      <c r="A106" s="13" t="s">
        <v>34</v>
      </c>
      <c r="B106" s="13">
        <v>2019</v>
      </c>
      <c r="C106" s="13" t="s">
        <v>46</v>
      </c>
      <c r="D106" s="13">
        <v>1946.1000000000001</v>
      </c>
      <c r="E106" s="13">
        <v>143.69999999999999</v>
      </c>
      <c r="F106" s="13">
        <v>129.80000000000001</v>
      </c>
      <c r="G106" s="13">
        <v>1029.4000000000001</v>
      </c>
      <c r="H106" s="13">
        <v>311</v>
      </c>
      <c r="I106" s="30">
        <v>298.60000000000002</v>
      </c>
      <c r="J106" s="13">
        <v>150.4</v>
      </c>
    </row>
    <row r="107" spans="1:10">
      <c r="A107" s="13" t="s">
        <v>30</v>
      </c>
      <c r="B107" s="13">
        <v>2020</v>
      </c>
      <c r="C107" s="13" t="s">
        <v>31</v>
      </c>
      <c r="D107" s="13">
        <v>1938.6</v>
      </c>
      <c r="E107" s="13">
        <v>150.4</v>
      </c>
      <c r="F107" s="13">
        <v>136.30000000000001</v>
      </c>
      <c r="G107" s="13">
        <v>1062.3</v>
      </c>
      <c r="H107" s="13">
        <v>316.7</v>
      </c>
      <c r="I107" s="30">
        <v>290.95</v>
      </c>
      <c r="J107" s="13">
        <v>151.9</v>
      </c>
    </row>
    <row r="108" spans="1:10">
      <c r="A108" s="13" t="s">
        <v>33</v>
      </c>
      <c r="B108" s="13">
        <v>2020</v>
      </c>
      <c r="C108" s="13" t="s">
        <v>31</v>
      </c>
      <c r="D108" s="13">
        <v>1945.3999999999999</v>
      </c>
      <c r="E108" s="13">
        <v>135.1</v>
      </c>
      <c r="F108" s="13">
        <v>126.1</v>
      </c>
      <c r="G108" s="13">
        <v>1000.3000000000001</v>
      </c>
      <c r="H108" s="13">
        <v>309.20000000000005</v>
      </c>
      <c r="I108" s="30">
        <v>294</v>
      </c>
      <c r="J108" s="13">
        <v>148.19999999999999</v>
      </c>
    </row>
    <row r="109" spans="1:10">
      <c r="A109" s="13" t="s">
        <v>34</v>
      </c>
      <c r="B109" s="13">
        <v>2020</v>
      </c>
      <c r="C109" s="13" t="s">
        <v>31</v>
      </c>
      <c r="D109" s="13">
        <v>1940.3999999999999</v>
      </c>
      <c r="E109" s="13">
        <v>144.6</v>
      </c>
      <c r="F109" s="13">
        <v>130.9</v>
      </c>
      <c r="G109" s="13">
        <v>1033.5999999999999</v>
      </c>
      <c r="H109" s="13">
        <v>312.60000000000002</v>
      </c>
      <c r="I109" s="30">
        <v>300.10000000000002</v>
      </c>
      <c r="J109" s="13">
        <v>150.19999999999999</v>
      </c>
    </row>
    <row r="110" spans="1:10">
      <c r="A110" s="13" t="s">
        <v>30</v>
      </c>
      <c r="B110" s="13">
        <v>2020</v>
      </c>
      <c r="C110" s="13" t="s">
        <v>35</v>
      </c>
      <c r="D110" s="13">
        <v>1909.7999999999997</v>
      </c>
      <c r="E110" s="13">
        <v>152.30000000000001</v>
      </c>
      <c r="F110" s="13">
        <v>136</v>
      </c>
      <c r="G110" s="13">
        <v>1064.7</v>
      </c>
      <c r="H110" s="13">
        <v>317.8</v>
      </c>
      <c r="I110" s="30">
        <v>291.05</v>
      </c>
      <c r="J110" s="13">
        <v>150.4</v>
      </c>
    </row>
    <row r="111" spans="1:10">
      <c r="A111" s="13" t="s">
        <v>33</v>
      </c>
      <c r="B111" s="13">
        <v>2020</v>
      </c>
      <c r="C111" s="13" t="s">
        <v>35</v>
      </c>
      <c r="D111" s="13">
        <v>1916.6</v>
      </c>
      <c r="E111" s="13">
        <v>138.9</v>
      </c>
      <c r="F111" s="13">
        <v>125.2</v>
      </c>
      <c r="G111" s="13">
        <v>1003.8</v>
      </c>
      <c r="H111" s="13">
        <v>310.39999999999998</v>
      </c>
      <c r="I111" s="30">
        <v>295.20000000000005</v>
      </c>
      <c r="J111" s="13">
        <v>147.69999999999999</v>
      </c>
    </row>
    <row r="112" spans="1:10">
      <c r="A112" s="13" t="s">
        <v>34</v>
      </c>
      <c r="B112" s="13">
        <v>2020</v>
      </c>
      <c r="C112" s="13" t="s">
        <v>35</v>
      </c>
      <c r="D112" s="13">
        <v>1911.6</v>
      </c>
      <c r="E112" s="13">
        <v>147.19999999999999</v>
      </c>
      <c r="F112" s="13">
        <v>130.30000000000001</v>
      </c>
      <c r="G112" s="13">
        <v>1036.5</v>
      </c>
      <c r="H112" s="13">
        <v>313.7</v>
      </c>
      <c r="I112" s="30">
        <v>301.20000000000005</v>
      </c>
      <c r="J112" s="13">
        <v>149.1</v>
      </c>
    </row>
    <row r="113" spans="1:10">
      <c r="A113" s="13" t="s">
        <v>30</v>
      </c>
      <c r="B113" s="13">
        <v>2020</v>
      </c>
      <c r="C113" s="13" t="s">
        <v>36</v>
      </c>
      <c r="D113" s="13">
        <v>1894.5999999999997</v>
      </c>
      <c r="E113" s="13">
        <v>153.4</v>
      </c>
      <c r="F113" s="13">
        <v>135.80000000000001</v>
      </c>
      <c r="G113" s="13">
        <v>1067.7</v>
      </c>
      <c r="H113" s="13">
        <v>319.10000000000002</v>
      </c>
      <c r="I113" s="30">
        <v>290.75</v>
      </c>
      <c r="J113" s="13">
        <v>149.80000000000001</v>
      </c>
    </row>
    <row r="114" spans="1:10">
      <c r="A114" s="13" t="s">
        <v>33</v>
      </c>
      <c r="B114" s="13">
        <v>2020</v>
      </c>
      <c r="C114" s="13" t="s">
        <v>36</v>
      </c>
      <c r="D114" s="13">
        <v>1898.5</v>
      </c>
      <c r="E114" s="13">
        <v>141.4</v>
      </c>
      <c r="F114" s="13">
        <v>124.6</v>
      </c>
      <c r="G114" s="13">
        <v>1007.8</v>
      </c>
      <c r="H114" s="13">
        <v>312</v>
      </c>
      <c r="I114" s="30">
        <v>295.3</v>
      </c>
      <c r="J114" s="13">
        <v>147.30000000000001</v>
      </c>
    </row>
    <row r="115" spans="1:10">
      <c r="A115" s="13" t="s">
        <v>34</v>
      </c>
      <c r="B115" s="13">
        <v>2020</v>
      </c>
      <c r="C115" s="13" t="s">
        <v>36</v>
      </c>
      <c r="D115" s="13">
        <v>1895.4</v>
      </c>
      <c r="E115" s="13">
        <v>148.9</v>
      </c>
      <c r="F115" s="13">
        <v>129.9</v>
      </c>
      <c r="G115" s="13">
        <v>1040.2</v>
      </c>
      <c r="H115" s="13">
        <v>315</v>
      </c>
      <c r="I115" s="30">
        <v>300.89999999999998</v>
      </c>
      <c r="J115" s="13">
        <v>148.6</v>
      </c>
    </row>
    <row r="116" spans="1:10">
      <c r="A116" s="13" t="s">
        <v>30</v>
      </c>
      <c r="B116" s="13">
        <v>2020</v>
      </c>
      <c r="C116" s="13" t="s">
        <v>39</v>
      </c>
      <c r="D116" s="13">
        <v>1951</v>
      </c>
      <c r="E116" s="13">
        <v>144.9</v>
      </c>
      <c r="F116" s="13">
        <v>141.4</v>
      </c>
      <c r="G116" s="13">
        <v>1083.2</v>
      </c>
      <c r="H116" s="13">
        <v>334.1</v>
      </c>
      <c r="I116" s="30">
        <v>290.95</v>
      </c>
      <c r="J116" s="13">
        <v>152.69999999999999</v>
      </c>
    </row>
    <row r="117" spans="1:10">
      <c r="A117" s="13" t="s">
        <v>33</v>
      </c>
      <c r="B117" s="13">
        <v>2020</v>
      </c>
      <c r="C117" s="13" t="s">
        <v>39</v>
      </c>
      <c r="D117" s="13">
        <v>1994.9999999999998</v>
      </c>
      <c r="E117" s="13">
        <v>137.1</v>
      </c>
      <c r="F117" s="13">
        <v>129.30000000000001</v>
      </c>
      <c r="G117" s="13">
        <v>1030.2</v>
      </c>
      <c r="H117" s="13">
        <v>328.7</v>
      </c>
      <c r="I117" s="30">
        <v>295.10000000000002</v>
      </c>
      <c r="J117" s="13">
        <v>150.80000000000001</v>
      </c>
    </row>
    <row r="118" spans="1:10">
      <c r="A118" s="13" t="s">
        <v>34</v>
      </c>
      <c r="B118" s="13">
        <v>2020</v>
      </c>
      <c r="C118" s="13" t="s">
        <v>39</v>
      </c>
      <c r="D118" s="13">
        <v>1966.8000000000002</v>
      </c>
      <c r="E118" s="13">
        <v>141.9</v>
      </c>
      <c r="F118" s="13">
        <v>135</v>
      </c>
      <c r="G118" s="13">
        <v>1059</v>
      </c>
      <c r="H118" s="13">
        <v>330.5</v>
      </c>
      <c r="I118" s="30">
        <v>301.10000000000002</v>
      </c>
      <c r="J118" s="13">
        <v>151.80000000000001</v>
      </c>
    </row>
    <row r="119" spans="1:10">
      <c r="A119" s="13" t="s">
        <v>30</v>
      </c>
      <c r="B119" s="13">
        <v>2020</v>
      </c>
      <c r="C119" s="13" t="s">
        <v>40</v>
      </c>
      <c r="D119" s="13">
        <v>1951</v>
      </c>
      <c r="E119" s="13">
        <v>144.9</v>
      </c>
      <c r="F119" s="13">
        <v>141.4</v>
      </c>
      <c r="G119" s="13">
        <v>1083.2</v>
      </c>
      <c r="H119" s="13">
        <v>334.1</v>
      </c>
      <c r="I119" s="30">
        <v>290.95</v>
      </c>
      <c r="J119" s="13">
        <v>152.69999999999999</v>
      </c>
    </row>
    <row r="120" spans="1:10">
      <c r="A120" s="13" t="s">
        <v>33</v>
      </c>
      <c r="B120" s="13">
        <v>2020</v>
      </c>
      <c r="C120" s="13" t="s">
        <v>40</v>
      </c>
      <c r="D120" s="13">
        <v>1994.9999999999998</v>
      </c>
      <c r="E120" s="13">
        <v>137.1</v>
      </c>
      <c r="F120" s="13">
        <v>129.30000000000001</v>
      </c>
      <c r="G120" s="13">
        <v>1030.2</v>
      </c>
      <c r="H120" s="13">
        <v>328.7</v>
      </c>
      <c r="I120" s="30">
        <v>295.10000000000002</v>
      </c>
      <c r="J120" s="13">
        <v>150.80000000000001</v>
      </c>
    </row>
    <row r="121" spans="1:10">
      <c r="A121" s="13" t="s">
        <v>34</v>
      </c>
      <c r="B121" s="13">
        <v>2020</v>
      </c>
      <c r="C121" s="13" t="s">
        <v>40</v>
      </c>
      <c r="D121" s="13">
        <v>1966.8000000000002</v>
      </c>
      <c r="E121" s="13">
        <v>141.9</v>
      </c>
      <c r="F121" s="13">
        <v>135</v>
      </c>
      <c r="G121" s="13">
        <v>1059</v>
      </c>
      <c r="H121" s="13">
        <v>330.5</v>
      </c>
      <c r="I121" s="30">
        <v>301.10000000000002</v>
      </c>
      <c r="J121" s="13">
        <v>151.80000000000001</v>
      </c>
    </row>
    <row r="122" spans="1:10">
      <c r="A122" s="13" t="s">
        <v>30</v>
      </c>
      <c r="B122" s="13">
        <v>2020</v>
      </c>
      <c r="C122" s="13" t="s">
        <v>41</v>
      </c>
      <c r="D122" s="13">
        <v>1978.6</v>
      </c>
      <c r="E122" s="13">
        <v>145.80000000000001</v>
      </c>
      <c r="F122" s="13">
        <v>143.6</v>
      </c>
      <c r="G122" s="13">
        <v>1086</v>
      </c>
      <c r="H122" s="13">
        <v>333.9</v>
      </c>
      <c r="I122" s="30">
        <v>291.14999999999998</v>
      </c>
      <c r="J122" s="13">
        <v>154.69999999999999</v>
      </c>
    </row>
    <row r="123" spans="1:10">
      <c r="A123" s="13" t="s">
        <v>33</v>
      </c>
      <c r="B123" s="13">
        <v>2020</v>
      </c>
      <c r="C123" s="13" t="s">
        <v>41</v>
      </c>
      <c r="D123" s="13">
        <v>2024.8999999999999</v>
      </c>
      <c r="E123" s="13">
        <v>138.30000000000001</v>
      </c>
      <c r="F123" s="13">
        <v>133.9</v>
      </c>
      <c r="G123" s="13">
        <v>1033.5999999999999</v>
      </c>
      <c r="H123" s="13">
        <v>332</v>
      </c>
      <c r="I123" s="30">
        <v>300</v>
      </c>
      <c r="J123" s="13">
        <v>152.9</v>
      </c>
    </row>
    <row r="124" spans="1:10">
      <c r="A124" s="13" t="s">
        <v>34</v>
      </c>
      <c r="B124" s="13">
        <v>2020</v>
      </c>
      <c r="C124" s="13" t="s">
        <v>41</v>
      </c>
      <c r="D124" s="13">
        <v>1995.1999999999998</v>
      </c>
      <c r="E124" s="13">
        <v>143</v>
      </c>
      <c r="F124" s="13">
        <v>138.5</v>
      </c>
      <c r="G124" s="13">
        <v>1062</v>
      </c>
      <c r="H124" s="13">
        <v>331.6</v>
      </c>
      <c r="I124" s="30">
        <v>303.89999999999998</v>
      </c>
      <c r="J124" s="13">
        <v>153.9</v>
      </c>
    </row>
    <row r="125" spans="1:10">
      <c r="A125" s="13" t="s">
        <v>30</v>
      </c>
      <c r="B125" s="13">
        <v>2020</v>
      </c>
      <c r="C125" s="13" t="s">
        <v>42</v>
      </c>
      <c r="D125" s="13">
        <v>1987.3999999999999</v>
      </c>
      <c r="E125" s="13">
        <v>146.4</v>
      </c>
      <c r="F125" s="13">
        <v>144.6</v>
      </c>
      <c r="G125" s="13">
        <v>1090.3</v>
      </c>
      <c r="H125" s="13">
        <v>336.6</v>
      </c>
      <c r="I125" s="30">
        <v>290.85000000000002</v>
      </c>
      <c r="J125" s="13">
        <v>155.4</v>
      </c>
    </row>
    <row r="126" spans="1:10">
      <c r="A126" s="13" t="s">
        <v>33</v>
      </c>
      <c r="B126" s="13">
        <v>2020</v>
      </c>
      <c r="C126" s="13" t="s">
        <v>42</v>
      </c>
      <c r="D126" s="13">
        <v>2041.6000000000001</v>
      </c>
      <c r="E126" s="13">
        <v>137.19999999999999</v>
      </c>
      <c r="F126" s="13">
        <v>135.1</v>
      </c>
      <c r="G126" s="13">
        <v>1041.1000000000001</v>
      </c>
      <c r="H126" s="13">
        <v>334.7</v>
      </c>
      <c r="I126" s="30">
        <v>301.70000000000005</v>
      </c>
      <c r="J126" s="13">
        <v>154</v>
      </c>
    </row>
    <row r="127" spans="1:10">
      <c r="A127" s="13" t="s">
        <v>34</v>
      </c>
      <c r="B127" s="13">
        <v>2020</v>
      </c>
      <c r="C127" s="13" t="s">
        <v>42</v>
      </c>
      <c r="D127" s="13">
        <v>2007</v>
      </c>
      <c r="E127" s="13">
        <v>142.9</v>
      </c>
      <c r="F127" s="13">
        <v>139.6</v>
      </c>
      <c r="G127" s="13">
        <v>1067.8</v>
      </c>
      <c r="H127" s="13">
        <v>334.4</v>
      </c>
      <c r="I127" s="30">
        <v>305</v>
      </c>
      <c r="J127" s="13">
        <v>154.69999999999999</v>
      </c>
    </row>
    <row r="128" spans="1:10">
      <c r="A128" s="13" t="s">
        <v>30</v>
      </c>
      <c r="B128" s="13">
        <v>2020</v>
      </c>
      <c r="C128" s="13" t="s">
        <v>43</v>
      </c>
      <c r="D128" s="13">
        <v>2030.9</v>
      </c>
      <c r="E128" s="13">
        <v>146.80000000000001</v>
      </c>
      <c r="F128" s="13">
        <v>146.4</v>
      </c>
      <c r="G128" s="13">
        <v>1091.9000000000001</v>
      </c>
      <c r="H128" s="13">
        <v>337</v>
      </c>
      <c r="I128" s="30">
        <v>291.25</v>
      </c>
      <c r="J128" s="13">
        <v>157.5</v>
      </c>
    </row>
    <row r="129" spans="1:10">
      <c r="A129" s="13" t="s">
        <v>33</v>
      </c>
      <c r="B129" s="13">
        <v>2020</v>
      </c>
      <c r="C129" s="13" t="s">
        <v>43</v>
      </c>
      <c r="D129" s="13">
        <v>2080.1999999999998</v>
      </c>
      <c r="E129" s="13">
        <v>137.1</v>
      </c>
      <c r="F129" s="13">
        <v>135.4</v>
      </c>
      <c r="G129" s="13">
        <v>1041.7</v>
      </c>
      <c r="H129" s="13">
        <v>334.9</v>
      </c>
      <c r="I129" s="30">
        <v>301.60000000000002</v>
      </c>
      <c r="J129" s="13">
        <v>155.19999999999999</v>
      </c>
    </row>
    <row r="130" spans="1:10">
      <c r="A130" s="13" t="s">
        <v>34</v>
      </c>
      <c r="B130" s="13">
        <v>2020</v>
      </c>
      <c r="C130" s="13" t="s">
        <v>43</v>
      </c>
      <c r="D130" s="13">
        <v>2048.6000000000004</v>
      </c>
      <c r="E130" s="13">
        <v>143.1</v>
      </c>
      <c r="F130" s="13">
        <v>140.6</v>
      </c>
      <c r="G130" s="13">
        <v>1068.9000000000001</v>
      </c>
      <c r="H130" s="13">
        <v>334.70000000000005</v>
      </c>
      <c r="I130" s="30">
        <v>305.2</v>
      </c>
      <c r="J130" s="13">
        <v>156.4</v>
      </c>
    </row>
    <row r="131" spans="1:10">
      <c r="A131" s="13" t="s">
        <v>30</v>
      </c>
      <c r="B131" s="13">
        <v>2020</v>
      </c>
      <c r="C131" s="13" t="s">
        <v>45</v>
      </c>
      <c r="D131" s="13">
        <v>2082.4</v>
      </c>
      <c r="E131" s="13">
        <v>147.5</v>
      </c>
      <c r="F131" s="13">
        <v>146.1</v>
      </c>
      <c r="G131" s="13">
        <v>1094.5999999999999</v>
      </c>
      <c r="H131" s="13">
        <v>337.9</v>
      </c>
      <c r="I131" s="30">
        <v>292.05</v>
      </c>
      <c r="J131" s="13">
        <v>159.80000000000001</v>
      </c>
    </row>
    <row r="132" spans="1:10">
      <c r="A132" s="13" t="s">
        <v>33</v>
      </c>
      <c r="B132" s="13">
        <v>2020</v>
      </c>
      <c r="C132" s="13" t="s">
        <v>45</v>
      </c>
      <c r="D132" s="13">
        <v>2120.6999999999998</v>
      </c>
      <c r="E132" s="13">
        <v>137.30000000000001</v>
      </c>
      <c r="F132" s="13">
        <v>135.19999999999999</v>
      </c>
      <c r="G132" s="13">
        <v>1047</v>
      </c>
      <c r="H132" s="13">
        <v>335.4</v>
      </c>
      <c r="I132" s="30">
        <v>303.10000000000002</v>
      </c>
      <c r="J132" s="13">
        <v>156.69999999999999</v>
      </c>
    </row>
    <row r="133" spans="1:10">
      <c r="A133" s="13" t="s">
        <v>34</v>
      </c>
      <c r="B133" s="13">
        <v>2020</v>
      </c>
      <c r="C133" s="13" t="s">
        <v>45</v>
      </c>
      <c r="D133" s="13">
        <v>2095.6</v>
      </c>
      <c r="E133" s="13">
        <v>143.6</v>
      </c>
      <c r="F133" s="13">
        <v>140.4</v>
      </c>
      <c r="G133" s="13">
        <v>1073.0999999999999</v>
      </c>
      <c r="H133" s="13">
        <v>335.5</v>
      </c>
      <c r="I133" s="30">
        <v>307.2</v>
      </c>
      <c r="J133" s="13">
        <v>158.4</v>
      </c>
    </row>
    <row r="134" spans="1:10">
      <c r="A134" s="13" t="s">
        <v>30</v>
      </c>
      <c r="B134" s="13">
        <v>2020</v>
      </c>
      <c r="C134" s="13" t="s">
        <v>46</v>
      </c>
      <c r="D134" s="13">
        <v>2100.5</v>
      </c>
      <c r="E134" s="13">
        <v>148.69999999999999</v>
      </c>
      <c r="F134" s="13">
        <v>146.4</v>
      </c>
      <c r="G134" s="13">
        <v>1099.9000000000001</v>
      </c>
      <c r="H134" s="13">
        <v>338.79999999999995</v>
      </c>
      <c r="I134" s="30">
        <v>292.64999999999998</v>
      </c>
      <c r="J134" s="13">
        <v>160.69999999999999</v>
      </c>
    </row>
    <row r="135" spans="1:10">
      <c r="A135" s="13" t="s">
        <v>33</v>
      </c>
      <c r="B135" s="13">
        <v>2020</v>
      </c>
      <c r="C135" s="13" t="s">
        <v>46</v>
      </c>
      <c r="D135" s="13">
        <v>2125.4</v>
      </c>
      <c r="E135" s="13">
        <v>137.9</v>
      </c>
      <c r="F135" s="13">
        <v>135.5</v>
      </c>
      <c r="G135" s="13">
        <v>1050.2</v>
      </c>
      <c r="H135" s="13">
        <v>337.1</v>
      </c>
      <c r="I135" s="30">
        <v>303.89999999999998</v>
      </c>
      <c r="J135" s="13">
        <v>156.9</v>
      </c>
    </row>
    <row r="136" spans="1:10">
      <c r="A136" s="13" t="s">
        <v>34</v>
      </c>
      <c r="B136" s="13">
        <v>2020</v>
      </c>
      <c r="C136" s="13" t="s">
        <v>46</v>
      </c>
      <c r="D136" s="13">
        <v>2109.1</v>
      </c>
      <c r="E136" s="13">
        <v>144.6</v>
      </c>
      <c r="F136" s="13">
        <v>140.69999999999999</v>
      </c>
      <c r="G136" s="13">
        <v>1077.3</v>
      </c>
      <c r="H136" s="13">
        <v>336.6</v>
      </c>
      <c r="I136" s="30">
        <v>308.10000000000002</v>
      </c>
      <c r="J136" s="13">
        <v>158.9</v>
      </c>
    </row>
    <row r="137" spans="1:10">
      <c r="A137" s="13" t="s">
        <v>30</v>
      </c>
      <c r="B137" s="13">
        <v>2021</v>
      </c>
      <c r="C137" s="13" t="s">
        <v>31</v>
      </c>
      <c r="D137" s="13">
        <v>2065.6999999999998</v>
      </c>
      <c r="E137" s="13">
        <v>150.9</v>
      </c>
      <c r="F137" s="13">
        <v>147.5</v>
      </c>
      <c r="G137" s="13">
        <v>1104</v>
      </c>
      <c r="H137" s="13">
        <v>340.5</v>
      </c>
      <c r="I137" s="30">
        <v>293.14999999999998</v>
      </c>
      <c r="J137" s="13">
        <v>158.5</v>
      </c>
    </row>
    <row r="138" spans="1:10">
      <c r="A138" s="13" t="s">
        <v>33</v>
      </c>
      <c r="B138" s="13">
        <v>2021</v>
      </c>
      <c r="C138" s="13" t="s">
        <v>31</v>
      </c>
      <c r="D138" s="13">
        <v>2097</v>
      </c>
      <c r="E138" s="13">
        <v>142.9</v>
      </c>
      <c r="F138" s="13">
        <v>136.9</v>
      </c>
      <c r="G138" s="13">
        <v>1053.3</v>
      </c>
      <c r="H138" s="13">
        <v>339.4</v>
      </c>
      <c r="I138" s="30">
        <v>303.39999999999998</v>
      </c>
      <c r="J138" s="13">
        <v>156</v>
      </c>
    </row>
    <row r="139" spans="1:10">
      <c r="A139" s="13" t="s">
        <v>34</v>
      </c>
      <c r="B139" s="13">
        <v>2021</v>
      </c>
      <c r="C139" s="13" t="s">
        <v>31</v>
      </c>
      <c r="D139" s="13">
        <v>2076.5</v>
      </c>
      <c r="E139" s="13">
        <v>147.9</v>
      </c>
      <c r="F139" s="13">
        <v>141.9</v>
      </c>
      <c r="G139" s="13">
        <v>1080.7</v>
      </c>
      <c r="H139" s="13">
        <v>338.4</v>
      </c>
      <c r="I139" s="30">
        <v>307.7</v>
      </c>
      <c r="J139" s="13">
        <v>157.30000000000001</v>
      </c>
    </row>
    <row r="140" spans="1:10">
      <c r="A140" s="13" t="s">
        <v>30</v>
      </c>
      <c r="B140" s="13">
        <v>2021</v>
      </c>
      <c r="C140" s="13" t="s">
        <v>35</v>
      </c>
      <c r="D140" s="13">
        <v>2025.3</v>
      </c>
      <c r="E140" s="13">
        <v>154.4</v>
      </c>
      <c r="F140" s="13">
        <v>150.19999999999999</v>
      </c>
      <c r="G140" s="13">
        <v>1111.5</v>
      </c>
      <c r="H140" s="13">
        <v>343.7</v>
      </c>
      <c r="I140" s="30">
        <v>294.05</v>
      </c>
      <c r="J140" s="13">
        <v>156.69999999999999</v>
      </c>
    </row>
    <row r="141" spans="1:10">
      <c r="A141" s="13" t="s">
        <v>33</v>
      </c>
      <c r="B141" s="13">
        <v>2021</v>
      </c>
      <c r="C141" s="13" t="s">
        <v>35</v>
      </c>
      <c r="D141" s="13">
        <v>2066</v>
      </c>
      <c r="E141" s="13">
        <v>149.1</v>
      </c>
      <c r="F141" s="13">
        <v>140.5</v>
      </c>
      <c r="G141" s="13">
        <v>1061.0999999999999</v>
      </c>
      <c r="H141" s="13">
        <v>342.6</v>
      </c>
      <c r="I141" s="30">
        <v>306.3</v>
      </c>
      <c r="J141" s="13">
        <v>156.5</v>
      </c>
    </row>
    <row r="142" spans="1:10">
      <c r="A142" s="13" t="s">
        <v>34</v>
      </c>
      <c r="B142" s="13">
        <v>2021</v>
      </c>
      <c r="C142" s="13" t="s">
        <v>35</v>
      </c>
      <c r="D142" s="13">
        <v>2039.3000000000002</v>
      </c>
      <c r="E142" s="13">
        <v>152.4</v>
      </c>
      <c r="F142" s="13">
        <v>145.1</v>
      </c>
      <c r="G142" s="13">
        <v>1088.5</v>
      </c>
      <c r="H142" s="13">
        <v>341.70000000000005</v>
      </c>
      <c r="I142" s="30">
        <v>310.70000000000005</v>
      </c>
      <c r="J142" s="13">
        <v>156.6</v>
      </c>
    </row>
    <row r="143" spans="1:10">
      <c r="A143" s="13" t="s">
        <v>30</v>
      </c>
      <c r="B143" s="13">
        <v>2021</v>
      </c>
      <c r="C143" s="13" t="s">
        <v>36</v>
      </c>
      <c r="D143" s="13">
        <v>2025.7</v>
      </c>
      <c r="E143" s="13">
        <v>156</v>
      </c>
      <c r="F143" s="13">
        <v>151.30000000000001</v>
      </c>
      <c r="G143" s="13">
        <v>1112.2</v>
      </c>
      <c r="H143" s="13">
        <v>343.4</v>
      </c>
      <c r="I143" s="30">
        <v>294.05</v>
      </c>
      <c r="J143" s="13">
        <v>156.69999999999999</v>
      </c>
    </row>
    <row r="144" spans="1:10">
      <c r="A144" s="13" t="s">
        <v>33</v>
      </c>
      <c r="B144" s="13">
        <v>2021</v>
      </c>
      <c r="C144" s="13" t="s">
        <v>36</v>
      </c>
      <c r="D144" s="13">
        <v>2064.4999999999995</v>
      </c>
      <c r="E144" s="13">
        <v>154.80000000000001</v>
      </c>
      <c r="F144" s="13">
        <v>141.69999999999999</v>
      </c>
      <c r="G144" s="13">
        <v>1064.3999999999999</v>
      </c>
      <c r="H144" s="13">
        <v>343.5</v>
      </c>
      <c r="I144" s="30">
        <v>307.10000000000002</v>
      </c>
      <c r="J144" s="13">
        <v>156.9</v>
      </c>
    </row>
    <row r="145" spans="1:21">
      <c r="A145" s="13" t="s">
        <v>34</v>
      </c>
      <c r="B145" s="13">
        <v>2021</v>
      </c>
      <c r="C145" s="13" t="s">
        <v>36</v>
      </c>
      <c r="D145" s="13">
        <v>2039.3999999999999</v>
      </c>
      <c r="E145" s="13">
        <v>155.5</v>
      </c>
      <c r="F145" s="13">
        <v>146.19999999999999</v>
      </c>
      <c r="G145" s="13">
        <v>1090.3999999999999</v>
      </c>
      <c r="H145" s="13">
        <v>341.9</v>
      </c>
      <c r="I145" s="30">
        <v>311.10000000000002</v>
      </c>
      <c r="J145" s="13">
        <v>156.80000000000001</v>
      </c>
    </row>
    <row r="146" spans="1:21">
      <c r="A146" s="13" t="s">
        <v>30</v>
      </c>
      <c r="B146" s="13">
        <v>2021</v>
      </c>
      <c r="C146" s="13" t="s">
        <v>37</v>
      </c>
      <c r="D146" s="13">
        <v>2049.5</v>
      </c>
      <c r="E146" s="13">
        <v>156</v>
      </c>
      <c r="F146" s="13">
        <v>151.69999999999999</v>
      </c>
      <c r="G146" s="13">
        <v>1118.3000000000002</v>
      </c>
      <c r="H146" s="13">
        <v>344.8</v>
      </c>
      <c r="I146" s="30">
        <v>294.75</v>
      </c>
      <c r="J146" s="13">
        <v>157.6</v>
      </c>
      <c r="O146" s="28" t="s">
        <v>1</v>
      </c>
      <c r="P146" s="28" t="s">
        <v>49</v>
      </c>
      <c r="Q146" s="28" t="s">
        <v>51</v>
      </c>
      <c r="R146" s="28" t="s">
        <v>50</v>
      </c>
      <c r="S146" s="28" t="s">
        <v>52</v>
      </c>
      <c r="T146" s="28" t="s">
        <v>53</v>
      </c>
      <c r="U146" s="28" t="s">
        <v>55</v>
      </c>
    </row>
    <row r="147" spans="1:21">
      <c r="A147" s="13" t="s">
        <v>33</v>
      </c>
      <c r="B147" s="13">
        <v>2021</v>
      </c>
      <c r="C147" s="13" t="s">
        <v>37</v>
      </c>
      <c r="D147" s="13">
        <v>2089.6</v>
      </c>
      <c r="E147" s="13">
        <v>154.9</v>
      </c>
      <c r="F147" s="13">
        <v>142.1</v>
      </c>
      <c r="G147" s="13">
        <v>1069.3999999999999</v>
      </c>
      <c r="H147" s="13">
        <v>344.9</v>
      </c>
      <c r="I147" s="30">
        <v>309</v>
      </c>
      <c r="J147" s="13">
        <v>158</v>
      </c>
      <c r="N147" s="29" t="s">
        <v>34</v>
      </c>
      <c r="O147">
        <v>2017</v>
      </c>
    </row>
    <row r="148" spans="1:21">
      <c r="A148" s="13" t="s">
        <v>34</v>
      </c>
      <c r="B148" s="13">
        <v>2021</v>
      </c>
      <c r="C148" s="13" t="s">
        <v>37</v>
      </c>
      <c r="D148" s="13">
        <v>2064.1</v>
      </c>
      <c r="E148" s="13">
        <v>155.6</v>
      </c>
      <c r="F148" s="13">
        <v>146.6</v>
      </c>
      <c r="G148" s="13">
        <v>1095.8</v>
      </c>
      <c r="H148" s="13">
        <v>343.20000000000005</v>
      </c>
      <c r="I148" s="30">
        <v>313.20000000000005</v>
      </c>
      <c r="J148" s="13">
        <v>157.80000000000001</v>
      </c>
      <c r="O148">
        <v>2018</v>
      </c>
    </row>
    <row r="149" spans="1:21">
      <c r="A149" s="13" t="s">
        <v>30</v>
      </c>
      <c r="B149" s="13">
        <v>2021</v>
      </c>
      <c r="C149" s="13" t="s">
        <v>38</v>
      </c>
      <c r="D149" s="13">
        <v>2095.2999999999997</v>
      </c>
      <c r="E149" s="13">
        <v>161.69999999999999</v>
      </c>
      <c r="F149" s="13">
        <v>153.19999999999999</v>
      </c>
      <c r="G149" s="13">
        <v>1146.4000000000001</v>
      </c>
      <c r="H149" s="13">
        <v>350.7</v>
      </c>
      <c r="I149" s="30">
        <v>298.05</v>
      </c>
      <c r="J149" s="13">
        <v>161.1</v>
      </c>
      <c r="O149">
        <v>2019</v>
      </c>
    </row>
    <row r="150" spans="1:21">
      <c r="A150" s="13" t="s">
        <v>33</v>
      </c>
      <c r="B150" s="13">
        <v>2021</v>
      </c>
      <c r="C150" s="13" t="s">
        <v>38</v>
      </c>
      <c r="D150" s="13">
        <v>2124.7000000000003</v>
      </c>
      <c r="E150" s="13">
        <v>155.5</v>
      </c>
      <c r="F150" s="13">
        <v>145</v>
      </c>
      <c r="G150" s="13">
        <v>1077.8999999999999</v>
      </c>
      <c r="H150" s="13">
        <v>350.5</v>
      </c>
      <c r="I150" s="30">
        <v>311.7</v>
      </c>
      <c r="J150" s="13">
        <v>159.5</v>
      </c>
      <c r="O150">
        <v>2020</v>
      </c>
    </row>
    <row r="151" spans="1:21">
      <c r="A151" s="13" t="s">
        <v>34</v>
      </c>
      <c r="B151" s="13">
        <v>2021</v>
      </c>
      <c r="C151" s="13" t="s">
        <v>38</v>
      </c>
      <c r="D151" s="13">
        <v>2105.7000000000003</v>
      </c>
      <c r="E151" s="13">
        <v>159.4</v>
      </c>
      <c r="F151" s="13">
        <v>148.9</v>
      </c>
      <c r="G151" s="13">
        <v>1115.6999999999998</v>
      </c>
      <c r="H151" s="13">
        <v>348.70000000000005</v>
      </c>
      <c r="I151" s="30">
        <v>316.29999999999995</v>
      </c>
      <c r="J151" s="13">
        <v>160.4</v>
      </c>
      <c r="O151">
        <v>2021</v>
      </c>
    </row>
    <row r="152" spans="1:21">
      <c r="A152" s="13" t="s">
        <v>30</v>
      </c>
      <c r="B152" s="13">
        <v>2021</v>
      </c>
      <c r="C152" s="13" t="s">
        <v>39</v>
      </c>
      <c r="D152" s="13">
        <v>2122.6</v>
      </c>
      <c r="E152" s="13">
        <v>162.1</v>
      </c>
      <c r="F152" s="13">
        <v>154.19999999999999</v>
      </c>
      <c r="G152" s="13">
        <v>1146.0999999999999</v>
      </c>
      <c r="H152" s="13">
        <v>350.6</v>
      </c>
      <c r="I152" s="30">
        <v>298.45</v>
      </c>
      <c r="J152" s="13">
        <v>162.1</v>
      </c>
      <c r="O152">
        <v>2022</v>
      </c>
    </row>
    <row r="153" spans="1:21">
      <c r="A153" s="13" t="s">
        <v>33</v>
      </c>
      <c r="B153" s="13">
        <v>2021</v>
      </c>
      <c r="C153" s="13" t="s">
        <v>39</v>
      </c>
      <c r="D153" s="13">
        <v>2154.1999999999998</v>
      </c>
      <c r="E153" s="13">
        <v>156.1</v>
      </c>
      <c r="F153" s="13">
        <v>147.5</v>
      </c>
      <c r="G153" s="13">
        <v>1080.1999999999998</v>
      </c>
      <c r="H153" s="13">
        <v>349</v>
      </c>
      <c r="I153" s="30">
        <v>310.3</v>
      </c>
      <c r="J153" s="13">
        <v>160.4</v>
      </c>
      <c r="O153">
        <v>2023</v>
      </c>
    </row>
    <row r="154" spans="1:21">
      <c r="A154" s="13" t="s">
        <v>34</v>
      </c>
      <c r="B154" s="13">
        <v>2021</v>
      </c>
      <c r="C154" s="13" t="s">
        <v>39</v>
      </c>
      <c r="D154" s="13">
        <v>2133.9</v>
      </c>
      <c r="E154" s="13">
        <v>159.80000000000001</v>
      </c>
      <c r="F154" s="13">
        <v>150.69999999999999</v>
      </c>
      <c r="G154" s="13">
        <v>1116.4000000000001</v>
      </c>
      <c r="H154" s="13">
        <v>348.4</v>
      </c>
      <c r="I154" s="30">
        <v>315.3</v>
      </c>
      <c r="J154" s="13">
        <v>161.30000000000001</v>
      </c>
    </row>
    <row r="155" spans="1:21">
      <c r="A155" s="13" t="s">
        <v>30</v>
      </c>
      <c r="B155" s="13">
        <v>2021</v>
      </c>
      <c r="C155" s="13" t="s">
        <v>40</v>
      </c>
      <c r="D155" s="13">
        <v>2132.4</v>
      </c>
      <c r="E155" s="13">
        <v>162.5</v>
      </c>
      <c r="F155" s="13">
        <v>157.1</v>
      </c>
      <c r="G155" s="13">
        <v>1151.1000000000001</v>
      </c>
      <c r="H155" s="13">
        <v>352.5</v>
      </c>
      <c r="I155" s="30">
        <v>299.55</v>
      </c>
      <c r="J155" s="13">
        <v>163.19999999999999</v>
      </c>
    </row>
    <row r="156" spans="1:21">
      <c r="A156" s="13" t="s">
        <v>33</v>
      </c>
      <c r="B156" s="13">
        <v>2021</v>
      </c>
      <c r="C156" s="13" t="s">
        <v>40</v>
      </c>
      <c r="D156" s="13">
        <v>2171.8000000000002</v>
      </c>
      <c r="E156" s="13">
        <v>157.69999999999999</v>
      </c>
      <c r="F156" s="13">
        <v>149.5</v>
      </c>
      <c r="G156" s="13">
        <v>1087.8999999999999</v>
      </c>
      <c r="H156" s="13">
        <v>350.5</v>
      </c>
      <c r="I156" s="30">
        <v>312.2</v>
      </c>
      <c r="J156" s="13">
        <v>161.80000000000001</v>
      </c>
    </row>
    <row r="157" spans="1:21">
      <c r="A157" s="13" t="s">
        <v>34</v>
      </c>
      <c r="B157" s="13">
        <v>2021</v>
      </c>
      <c r="C157" s="13" t="s">
        <v>40</v>
      </c>
      <c r="D157" s="13">
        <v>2147</v>
      </c>
      <c r="E157" s="13">
        <v>160.69999999999999</v>
      </c>
      <c r="F157" s="13">
        <v>153.1</v>
      </c>
      <c r="G157" s="13">
        <v>1122.8999999999999</v>
      </c>
      <c r="H157" s="13">
        <v>350.2</v>
      </c>
      <c r="I157" s="30">
        <v>317.3</v>
      </c>
      <c r="J157" s="13">
        <v>162.5</v>
      </c>
    </row>
    <row r="158" spans="1:21">
      <c r="A158" s="13" t="s">
        <v>30</v>
      </c>
      <c r="B158" s="13">
        <v>2021</v>
      </c>
      <c r="C158" s="13" t="s">
        <v>41</v>
      </c>
      <c r="D158" s="13">
        <v>2130.8000000000002</v>
      </c>
      <c r="E158" s="13">
        <v>163.1</v>
      </c>
      <c r="F158" s="13">
        <v>157.69999999999999</v>
      </c>
      <c r="G158" s="13">
        <v>1155.9000000000001</v>
      </c>
      <c r="H158" s="13">
        <v>353.5</v>
      </c>
      <c r="I158" s="30">
        <v>300.14999999999998</v>
      </c>
      <c r="J158" s="13">
        <v>163.6</v>
      </c>
    </row>
    <row r="159" spans="1:21">
      <c r="A159" s="13" t="s">
        <v>33</v>
      </c>
      <c r="B159" s="13">
        <v>2021</v>
      </c>
      <c r="C159" s="13" t="s">
        <v>41</v>
      </c>
      <c r="D159" s="13">
        <v>2157.9</v>
      </c>
      <c r="E159" s="13">
        <v>160.69999999999999</v>
      </c>
      <c r="F159" s="13">
        <v>150.4</v>
      </c>
      <c r="G159" s="13">
        <v>1097.2</v>
      </c>
      <c r="H159" s="13">
        <v>352.5</v>
      </c>
      <c r="I159" s="30">
        <v>315.29999999999995</v>
      </c>
      <c r="J159" s="13">
        <v>162.30000000000001</v>
      </c>
    </row>
    <row r="160" spans="1:21">
      <c r="A160" s="13" t="s">
        <v>34</v>
      </c>
      <c r="B160" s="13">
        <v>2021</v>
      </c>
      <c r="C160" s="13" t="s">
        <v>41</v>
      </c>
      <c r="D160" s="13">
        <v>2142</v>
      </c>
      <c r="E160" s="13">
        <v>162.6</v>
      </c>
      <c r="F160" s="13">
        <v>154</v>
      </c>
      <c r="G160" s="13">
        <v>1132.8</v>
      </c>
      <c r="H160" s="13">
        <v>352.1</v>
      </c>
      <c r="I160" s="30">
        <v>319.60000000000002</v>
      </c>
      <c r="J160" s="13">
        <v>163.19999999999999</v>
      </c>
    </row>
    <row r="161" spans="1:10">
      <c r="A161" s="13" t="s">
        <v>30</v>
      </c>
      <c r="B161" s="13">
        <v>2021</v>
      </c>
      <c r="C161" s="13" t="s">
        <v>42</v>
      </c>
      <c r="D161" s="13">
        <v>2133.6</v>
      </c>
      <c r="E161" s="13">
        <v>163.69999999999999</v>
      </c>
      <c r="F161" s="13">
        <v>157.80000000000001</v>
      </c>
      <c r="G161" s="13">
        <v>1161.6999999999998</v>
      </c>
      <c r="H161" s="13">
        <v>354.3</v>
      </c>
      <c r="I161" s="30">
        <v>300.55</v>
      </c>
      <c r="J161" s="13">
        <v>164</v>
      </c>
    </row>
    <row r="162" spans="1:10">
      <c r="A162" s="13" t="s">
        <v>33</v>
      </c>
      <c r="B162" s="13">
        <v>2021</v>
      </c>
      <c r="C162" s="13" t="s">
        <v>42</v>
      </c>
      <c r="D162" s="13">
        <v>2157.9</v>
      </c>
      <c r="E162" s="13">
        <v>160.80000000000001</v>
      </c>
      <c r="F162" s="13">
        <v>150.5</v>
      </c>
      <c r="G162" s="13">
        <v>1097.4000000000001</v>
      </c>
      <c r="H162" s="13">
        <v>352.5</v>
      </c>
      <c r="I162" s="30">
        <v>315.39999999999998</v>
      </c>
      <c r="J162" s="13">
        <v>162.30000000000001</v>
      </c>
    </row>
    <row r="163" spans="1:10">
      <c r="A163" s="13" t="s">
        <v>34</v>
      </c>
      <c r="B163" s="13">
        <v>2021</v>
      </c>
      <c r="C163" s="13" t="s">
        <v>42</v>
      </c>
      <c r="D163" s="13">
        <v>2142</v>
      </c>
      <c r="E163" s="13">
        <v>162.6</v>
      </c>
      <c r="F163" s="13">
        <v>154</v>
      </c>
      <c r="G163" s="13">
        <v>1133</v>
      </c>
      <c r="H163" s="13">
        <v>352.1</v>
      </c>
      <c r="I163" s="30">
        <v>319.60000000000002</v>
      </c>
      <c r="J163" s="13">
        <v>163.19999999999999</v>
      </c>
    </row>
    <row r="164" spans="1:10">
      <c r="A164" s="13" t="s">
        <v>30</v>
      </c>
      <c r="B164" s="13">
        <v>2021</v>
      </c>
      <c r="C164" s="13" t="s">
        <v>43</v>
      </c>
      <c r="D164" s="13">
        <v>2164.1999999999998</v>
      </c>
      <c r="E164" s="13">
        <v>165.5</v>
      </c>
      <c r="F164" s="13">
        <v>159.5</v>
      </c>
      <c r="G164" s="13">
        <v>1167.8</v>
      </c>
      <c r="H164" s="13">
        <v>355.9</v>
      </c>
      <c r="I164" s="30">
        <v>301.25</v>
      </c>
      <c r="J164" s="13">
        <v>166.3</v>
      </c>
    </row>
    <row r="165" spans="1:10">
      <c r="A165" s="13" t="s">
        <v>33</v>
      </c>
      <c r="B165" s="13">
        <v>2021</v>
      </c>
      <c r="C165" s="13" t="s">
        <v>43</v>
      </c>
      <c r="D165" s="13">
        <v>2198.4000000000005</v>
      </c>
      <c r="E165" s="13">
        <v>162.19999999999999</v>
      </c>
      <c r="F165" s="13">
        <v>152.19999999999999</v>
      </c>
      <c r="G165" s="13">
        <v>1102.7</v>
      </c>
      <c r="H165" s="13">
        <v>354</v>
      </c>
      <c r="I165" s="30">
        <v>317.89999999999998</v>
      </c>
      <c r="J165" s="13">
        <v>164.6</v>
      </c>
    </row>
    <row r="166" spans="1:10">
      <c r="A166" s="13" t="s">
        <v>34</v>
      </c>
      <c r="B166" s="13">
        <v>2021</v>
      </c>
      <c r="C166" s="13" t="s">
        <v>43</v>
      </c>
      <c r="D166" s="13">
        <v>2175.5</v>
      </c>
      <c r="E166" s="13">
        <v>164.2</v>
      </c>
      <c r="F166" s="13">
        <v>155.69999999999999</v>
      </c>
      <c r="G166" s="13">
        <v>1138.7</v>
      </c>
      <c r="H166" s="13">
        <v>353.7</v>
      </c>
      <c r="I166" s="30">
        <v>322</v>
      </c>
      <c r="J166" s="13">
        <v>165.5</v>
      </c>
    </row>
    <row r="167" spans="1:10">
      <c r="A167" s="13" t="s">
        <v>30</v>
      </c>
      <c r="B167" s="13">
        <v>2021</v>
      </c>
      <c r="C167" s="13" t="s">
        <v>45</v>
      </c>
      <c r="D167" s="13">
        <v>2182</v>
      </c>
      <c r="E167" s="13">
        <v>165.3</v>
      </c>
      <c r="F167" s="13">
        <v>158.9</v>
      </c>
      <c r="G167" s="13">
        <v>1175.1000000000001</v>
      </c>
      <c r="H167" s="13">
        <v>356.6</v>
      </c>
      <c r="I167" s="30">
        <v>302.14999999999998</v>
      </c>
      <c r="J167" s="13">
        <v>167.6</v>
      </c>
    </row>
    <row r="168" spans="1:10">
      <c r="A168" s="13" t="s">
        <v>33</v>
      </c>
      <c r="B168" s="13">
        <v>2021</v>
      </c>
      <c r="C168" s="13" t="s">
        <v>45</v>
      </c>
      <c r="D168" s="13">
        <v>2217.8999999999996</v>
      </c>
      <c r="E168" s="13">
        <v>161.6</v>
      </c>
      <c r="F168" s="13">
        <v>151.19999999999999</v>
      </c>
      <c r="G168" s="13">
        <v>1110.8</v>
      </c>
      <c r="H168" s="13">
        <v>354.3</v>
      </c>
      <c r="I168" s="30">
        <v>319.39999999999998</v>
      </c>
      <c r="J168" s="13">
        <v>165.6</v>
      </c>
    </row>
    <row r="169" spans="1:10">
      <c r="A169" s="13" t="s">
        <v>34</v>
      </c>
      <c r="B169" s="13">
        <v>2021</v>
      </c>
      <c r="C169" s="13" t="s">
        <v>45</v>
      </c>
      <c r="D169" s="13">
        <v>2194.1</v>
      </c>
      <c r="E169" s="13">
        <v>163.9</v>
      </c>
      <c r="F169" s="13">
        <v>154.80000000000001</v>
      </c>
      <c r="G169" s="13">
        <v>1146.6000000000001</v>
      </c>
      <c r="H169" s="13">
        <v>354.3</v>
      </c>
      <c r="I169" s="30">
        <v>323.5</v>
      </c>
      <c r="J169" s="13">
        <v>166.7</v>
      </c>
    </row>
    <row r="170" spans="1:10">
      <c r="A170" s="13" t="s">
        <v>30</v>
      </c>
      <c r="B170" s="13">
        <v>2021</v>
      </c>
      <c r="C170" s="13" t="s">
        <v>46</v>
      </c>
      <c r="D170" s="13">
        <v>2168.1999999999998</v>
      </c>
      <c r="E170" s="13">
        <v>165.6</v>
      </c>
      <c r="F170" s="13">
        <v>160.1</v>
      </c>
      <c r="G170" s="13">
        <v>1181.3</v>
      </c>
      <c r="H170" s="13">
        <v>356.8</v>
      </c>
      <c r="I170" s="30">
        <v>303.14999999999998</v>
      </c>
      <c r="J170" s="13">
        <v>167</v>
      </c>
    </row>
    <row r="171" spans="1:10">
      <c r="A171" s="13" t="s">
        <v>33</v>
      </c>
      <c r="B171" s="13">
        <v>2021</v>
      </c>
      <c r="C171" s="13" t="s">
        <v>46</v>
      </c>
      <c r="D171" s="13">
        <v>2206.3000000000002</v>
      </c>
      <c r="E171" s="13">
        <v>161.69999999999999</v>
      </c>
      <c r="F171" s="13">
        <v>151.80000000000001</v>
      </c>
      <c r="G171" s="13">
        <v>1116.3999999999999</v>
      </c>
      <c r="H171" s="13">
        <v>354.6</v>
      </c>
      <c r="I171" s="30">
        <v>319.39999999999998</v>
      </c>
      <c r="J171" s="13">
        <v>165.2</v>
      </c>
    </row>
    <row r="172" spans="1:10">
      <c r="A172" s="13" t="s">
        <v>34</v>
      </c>
      <c r="B172" s="13">
        <v>2021</v>
      </c>
      <c r="C172" s="13" t="s">
        <v>46</v>
      </c>
      <c r="D172" s="13">
        <v>2180.9</v>
      </c>
      <c r="E172" s="13">
        <v>164.1</v>
      </c>
      <c r="F172" s="13">
        <v>155.69999999999999</v>
      </c>
      <c r="G172" s="13">
        <v>1152.4000000000001</v>
      </c>
      <c r="H172" s="13">
        <v>354.4</v>
      </c>
      <c r="I172" s="30">
        <v>323.60000000000002</v>
      </c>
      <c r="J172" s="13">
        <v>166.2</v>
      </c>
    </row>
    <row r="173" spans="1:10">
      <c r="A173" s="13" t="s">
        <v>30</v>
      </c>
      <c r="B173" s="13">
        <v>2022</v>
      </c>
      <c r="C173" s="13" t="s">
        <v>31</v>
      </c>
      <c r="D173" s="13">
        <v>2153</v>
      </c>
      <c r="E173" s="13">
        <v>165.8</v>
      </c>
      <c r="F173" s="13">
        <v>160.80000000000001</v>
      </c>
      <c r="G173" s="13">
        <v>1187.9000000000001</v>
      </c>
      <c r="H173" s="13">
        <v>357.29999999999995</v>
      </c>
      <c r="I173" s="30">
        <v>304.14999999999998</v>
      </c>
      <c r="J173" s="13">
        <v>166.4</v>
      </c>
    </row>
    <row r="174" spans="1:10">
      <c r="A174" s="13" t="s">
        <v>33</v>
      </c>
      <c r="B174" s="13">
        <v>2022</v>
      </c>
      <c r="C174" s="13" t="s">
        <v>31</v>
      </c>
      <c r="D174" s="13">
        <v>2186.6999999999998</v>
      </c>
      <c r="E174" s="13">
        <v>161.6</v>
      </c>
      <c r="F174" s="13">
        <v>152.69999999999999</v>
      </c>
      <c r="G174" s="13">
        <v>1123.7</v>
      </c>
      <c r="H174" s="13">
        <v>355</v>
      </c>
      <c r="I174" s="30">
        <v>321.3</v>
      </c>
      <c r="J174" s="13">
        <v>165</v>
      </c>
    </row>
    <row r="175" spans="1:10">
      <c r="A175" s="13" t="s">
        <v>34</v>
      </c>
      <c r="B175" s="13">
        <v>2022</v>
      </c>
      <c r="C175" s="13" t="s">
        <v>31</v>
      </c>
      <c r="D175" s="13">
        <v>2164.1999999999998</v>
      </c>
      <c r="E175" s="13">
        <v>164.2</v>
      </c>
      <c r="F175" s="13">
        <v>156.5</v>
      </c>
      <c r="G175" s="13">
        <v>1159.4000000000001</v>
      </c>
      <c r="H175" s="13">
        <v>354.9</v>
      </c>
      <c r="I175" s="30">
        <v>325.60000000000002</v>
      </c>
      <c r="J175" s="13">
        <v>165.7</v>
      </c>
    </row>
    <row r="176" spans="1:10">
      <c r="A176" s="13" t="s">
        <v>30</v>
      </c>
      <c r="B176" s="13">
        <v>2022</v>
      </c>
      <c r="C176" s="13" t="s">
        <v>35</v>
      </c>
      <c r="D176" s="13">
        <v>2150.4</v>
      </c>
      <c r="E176" s="13">
        <v>167.4</v>
      </c>
      <c r="F176" s="13">
        <v>161.19999999999999</v>
      </c>
      <c r="G176" s="13">
        <v>1194.3999999999999</v>
      </c>
      <c r="H176" s="13">
        <v>358.8</v>
      </c>
      <c r="I176" s="30">
        <v>304.95</v>
      </c>
      <c r="J176" s="13">
        <v>166.7</v>
      </c>
    </row>
    <row r="177" spans="1:10">
      <c r="A177" s="13" t="s">
        <v>33</v>
      </c>
      <c r="B177" s="13">
        <v>2022</v>
      </c>
      <c r="C177" s="13" t="s">
        <v>35</v>
      </c>
      <c r="D177" s="13">
        <v>2183.5</v>
      </c>
      <c r="E177" s="13">
        <v>163</v>
      </c>
      <c r="F177" s="13">
        <v>153.1</v>
      </c>
      <c r="G177" s="13">
        <v>1132.4000000000001</v>
      </c>
      <c r="H177" s="13">
        <v>355.9</v>
      </c>
      <c r="I177" s="30">
        <v>322.89999999999998</v>
      </c>
      <c r="J177" s="13">
        <v>165.5</v>
      </c>
    </row>
    <row r="178" spans="1:10">
      <c r="A178" s="13" t="s">
        <v>34</v>
      </c>
      <c r="B178" s="13">
        <v>2022</v>
      </c>
      <c r="C178" s="13" t="s">
        <v>35</v>
      </c>
      <c r="D178" s="13">
        <v>2161.2000000000003</v>
      </c>
      <c r="E178" s="13">
        <v>165.7</v>
      </c>
      <c r="F178" s="13">
        <v>156.9</v>
      </c>
      <c r="G178" s="13">
        <v>1166.8999999999999</v>
      </c>
      <c r="H178" s="13">
        <v>356.3</v>
      </c>
      <c r="I178" s="30">
        <v>327.3</v>
      </c>
      <c r="J178" s="13">
        <v>166.1</v>
      </c>
    </row>
    <row r="179" spans="1:10">
      <c r="A179" s="13" t="s">
        <v>30</v>
      </c>
      <c r="B179" s="13">
        <v>2022</v>
      </c>
      <c r="C179" s="13" t="s">
        <v>36</v>
      </c>
      <c r="D179" s="13">
        <v>2179.1000000000004</v>
      </c>
      <c r="E179" s="13">
        <v>168.9</v>
      </c>
      <c r="F179" s="13">
        <v>162</v>
      </c>
      <c r="G179" s="13">
        <v>1204.3</v>
      </c>
      <c r="H179" s="13">
        <v>360.6</v>
      </c>
      <c r="I179" s="30">
        <v>305.75</v>
      </c>
      <c r="J179" s="13">
        <v>168.7</v>
      </c>
    </row>
    <row r="180" spans="1:10">
      <c r="A180" s="13" t="s">
        <v>33</v>
      </c>
      <c r="B180" s="13">
        <v>2022</v>
      </c>
      <c r="C180" s="13" t="s">
        <v>36</v>
      </c>
      <c r="D180" s="13">
        <v>2196.3000000000002</v>
      </c>
      <c r="E180" s="13">
        <v>164.5</v>
      </c>
      <c r="F180" s="13">
        <v>154.19999999999999</v>
      </c>
      <c r="G180" s="13">
        <v>1143.1000000000001</v>
      </c>
      <c r="H180" s="13">
        <v>358.1</v>
      </c>
      <c r="I180" s="30">
        <v>323.89999999999998</v>
      </c>
      <c r="J180" s="13">
        <v>166.5</v>
      </c>
    </row>
    <row r="181" spans="1:10">
      <c r="A181" s="13" t="s">
        <v>34</v>
      </c>
      <c r="B181" s="13">
        <v>2022</v>
      </c>
      <c r="C181" s="13" t="s">
        <v>36</v>
      </c>
      <c r="D181" s="13">
        <v>2184.2000000000003</v>
      </c>
      <c r="E181" s="13">
        <v>167.2</v>
      </c>
      <c r="F181" s="13">
        <v>157.9</v>
      </c>
      <c r="G181" s="13">
        <v>1177.3000000000002</v>
      </c>
      <c r="H181" s="13">
        <v>358.29999999999995</v>
      </c>
      <c r="I181" s="30">
        <v>328.1</v>
      </c>
      <c r="J181" s="13">
        <v>167.7</v>
      </c>
    </row>
    <row r="182" spans="1:10">
      <c r="A182" s="13" t="s">
        <v>30</v>
      </c>
      <c r="B182" s="13">
        <v>2022</v>
      </c>
      <c r="C182" s="13" t="s">
        <v>37</v>
      </c>
      <c r="D182" s="13">
        <v>2206.6</v>
      </c>
      <c r="E182" s="13">
        <v>173.3</v>
      </c>
      <c r="F182" s="13">
        <v>166.2</v>
      </c>
      <c r="G182" s="13">
        <v>1213.8</v>
      </c>
      <c r="H182" s="13">
        <v>363</v>
      </c>
      <c r="I182" s="30">
        <v>306.95</v>
      </c>
      <c r="J182" s="13">
        <v>170.8</v>
      </c>
    </row>
    <row r="183" spans="1:10">
      <c r="A183" s="13" t="s">
        <v>33</v>
      </c>
      <c r="B183" s="13">
        <v>2022</v>
      </c>
      <c r="C183" s="13" t="s">
        <v>37</v>
      </c>
      <c r="D183" s="13">
        <v>2230.4</v>
      </c>
      <c r="E183" s="13">
        <v>170.5</v>
      </c>
      <c r="F183" s="13">
        <v>159.30000000000001</v>
      </c>
      <c r="G183" s="13">
        <v>1152.8000000000002</v>
      </c>
      <c r="H183" s="13">
        <v>360.2</v>
      </c>
      <c r="I183" s="30">
        <v>326.8</v>
      </c>
      <c r="J183" s="13">
        <v>169.2</v>
      </c>
    </row>
    <row r="184" spans="1:10">
      <c r="A184" s="13" t="s">
        <v>34</v>
      </c>
      <c r="B184" s="13">
        <v>2022</v>
      </c>
      <c r="C184" s="13" t="s">
        <v>37</v>
      </c>
      <c r="D184" s="13">
        <v>2214.3000000000002</v>
      </c>
      <c r="E184" s="13">
        <v>172.2</v>
      </c>
      <c r="F184" s="13">
        <v>162.6</v>
      </c>
      <c r="G184" s="13">
        <v>1187.3</v>
      </c>
      <c r="H184" s="13">
        <v>360.70000000000005</v>
      </c>
      <c r="I184" s="30">
        <v>331</v>
      </c>
      <c r="J184" s="13">
        <v>170.1</v>
      </c>
    </row>
    <row r="185" spans="1:10">
      <c r="A185" s="13" t="s">
        <v>30</v>
      </c>
      <c r="B185" s="13">
        <v>2022</v>
      </c>
      <c r="C185" s="13" t="s">
        <v>38</v>
      </c>
      <c r="D185" s="13">
        <v>2226.8000000000002</v>
      </c>
      <c r="E185" s="13">
        <v>175.3</v>
      </c>
      <c r="F185" s="13">
        <v>167.1</v>
      </c>
      <c r="G185" s="13">
        <v>1221.0999999999999</v>
      </c>
      <c r="H185" s="13">
        <v>363.8</v>
      </c>
      <c r="I185" s="30">
        <v>308.14999999999998</v>
      </c>
      <c r="J185" s="13">
        <v>172.5</v>
      </c>
    </row>
    <row r="186" spans="1:10">
      <c r="A186" s="13" t="s">
        <v>33</v>
      </c>
      <c r="B186" s="13">
        <v>2022</v>
      </c>
      <c r="C186" s="13" t="s">
        <v>38</v>
      </c>
      <c r="D186" s="13">
        <v>2262.2000000000003</v>
      </c>
      <c r="E186" s="13">
        <v>173.5</v>
      </c>
      <c r="F186" s="13">
        <v>159.4</v>
      </c>
      <c r="G186" s="13">
        <v>1160.3999999999999</v>
      </c>
      <c r="H186" s="13">
        <v>361.3</v>
      </c>
      <c r="I186" s="30">
        <v>328.6</v>
      </c>
      <c r="J186" s="13">
        <v>170.8</v>
      </c>
    </row>
    <row r="187" spans="1:10">
      <c r="A187" s="13" t="s">
        <v>34</v>
      </c>
      <c r="B187" s="13">
        <v>2022</v>
      </c>
      <c r="C187" s="13" t="s">
        <v>38</v>
      </c>
      <c r="D187" s="13">
        <v>2238.9000000000005</v>
      </c>
      <c r="E187" s="13">
        <v>174.6</v>
      </c>
      <c r="F187" s="13">
        <v>163</v>
      </c>
      <c r="G187" s="13">
        <v>1194.8000000000002</v>
      </c>
      <c r="H187" s="13">
        <v>361.6</v>
      </c>
      <c r="I187" s="30">
        <v>332.7</v>
      </c>
      <c r="J187" s="13">
        <v>171.7</v>
      </c>
    </row>
    <row r="188" spans="1:10">
      <c r="A188" s="13" t="s">
        <v>30</v>
      </c>
      <c r="B188" s="13">
        <v>2022</v>
      </c>
      <c r="C188" s="13" t="s">
        <v>39</v>
      </c>
      <c r="D188" s="13">
        <v>2248.3000000000002</v>
      </c>
      <c r="E188" s="13">
        <v>176.7</v>
      </c>
      <c r="F188" s="13">
        <v>165.5</v>
      </c>
      <c r="G188" s="13">
        <v>1228.0999999999999</v>
      </c>
      <c r="H188" s="13">
        <v>363.9</v>
      </c>
      <c r="I188" s="30">
        <v>309.55</v>
      </c>
      <c r="J188" s="13">
        <v>173.6</v>
      </c>
    </row>
    <row r="189" spans="1:10">
      <c r="A189" s="13" t="s">
        <v>33</v>
      </c>
      <c r="B189" s="13">
        <v>2022</v>
      </c>
      <c r="C189" s="13" t="s">
        <v>39</v>
      </c>
      <c r="D189" s="13">
        <v>2287.5</v>
      </c>
      <c r="E189" s="13">
        <v>174.9</v>
      </c>
      <c r="F189" s="13">
        <v>157.19999999999999</v>
      </c>
      <c r="G189" s="13">
        <v>1169.0999999999999</v>
      </c>
      <c r="H189" s="13">
        <v>362.1</v>
      </c>
      <c r="I189" s="30">
        <v>328.9</v>
      </c>
      <c r="J189" s="13">
        <v>171.4</v>
      </c>
    </row>
    <row r="190" spans="1:10">
      <c r="A190" s="13" t="s">
        <v>34</v>
      </c>
      <c r="B190" s="13">
        <v>2022</v>
      </c>
      <c r="C190" s="13" t="s">
        <v>39</v>
      </c>
      <c r="D190" s="13">
        <v>2261.9</v>
      </c>
      <c r="E190" s="13">
        <v>176</v>
      </c>
      <c r="F190" s="13">
        <v>161.1</v>
      </c>
      <c r="G190" s="13">
        <v>1202.6000000000001</v>
      </c>
      <c r="H190" s="13">
        <v>361.8</v>
      </c>
      <c r="I190" s="30">
        <v>333.20000000000005</v>
      </c>
      <c r="J190" s="13">
        <v>172.6</v>
      </c>
    </row>
    <row r="191" spans="1:10">
      <c r="A191" s="13" t="s">
        <v>30</v>
      </c>
      <c r="B191" s="13">
        <v>2022</v>
      </c>
      <c r="C191" s="13" t="s">
        <v>40</v>
      </c>
      <c r="D191" s="13">
        <v>2252.5</v>
      </c>
      <c r="E191" s="13">
        <v>179.6</v>
      </c>
      <c r="F191" s="13">
        <v>166.3</v>
      </c>
      <c r="G191" s="13">
        <v>1235.8</v>
      </c>
      <c r="H191" s="13">
        <v>365</v>
      </c>
      <c r="I191" s="30">
        <v>310.55</v>
      </c>
      <c r="J191" s="13">
        <v>174.3</v>
      </c>
    </row>
    <row r="192" spans="1:10">
      <c r="A192" s="13" t="s">
        <v>33</v>
      </c>
      <c r="B192" s="13">
        <v>2022</v>
      </c>
      <c r="C192" s="13" t="s">
        <v>40</v>
      </c>
      <c r="D192" s="13">
        <v>2291.6</v>
      </c>
      <c r="E192" s="13">
        <v>179.5</v>
      </c>
      <c r="F192" s="13">
        <v>157.4</v>
      </c>
      <c r="G192" s="13">
        <v>1177.2</v>
      </c>
      <c r="H192" s="13">
        <v>363.29999999999995</v>
      </c>
      <c r="I192" s="30">
        <v>330.9</v>
      </c>
      <c r="J192" s="13">
        <v>172.3</v>
      </c>
    </row>
    <row r="193" spans="1:10">
      <c r="A193" s="13" t="s">
        <v>34</v>
      </c>
      <c r="B193" s="13">
        <v>2022</v>
      </c>
      <c r="C193" s="13" t="s">
        <v>40</v>
      </c>
      <c r="D193" s="13">
        <v>2266.3000000000002</v>
      </c>
      <c r="E193" s="13">
        <v>179.6</v>
      </c>
      <c r="F193" s="13">
        <v>161.6</v>
      </c>
      <c r="G193" s="13">
        <v>1210.4000000000001</v>
      </c>
      <c r="H193" s="13">
        <v>363</v>
      </c>
      <c r="I193" s="30">
        <v>335.20000000000005</v>
      </c>
      <c r="J193" s="13">
        <v>173.4</v>
      </c>
    </row>
    <row r="194" spans="1:10">
      <c r="A194" s="13" t="s">
        <v>30</v>
      </c>
      <c r="B194" s="13">
        <v>2022</v>
      </c>
      <c r="C194" s="13" t="s">
        <v>41</v>
      </c>
      <c r="D194" s="13">
        <v>2255.7999999999997</v>
      </c>
      <c r="E194" s="13">
        <v>179.1</v>
      </c>
      <c r="F194" s="13">
        <v>166.6</v>
      </c>
      <c r="G194" s="13">
        <v>1243.4000000000001</v>
      </c>
      <c r="H194" s="13">
        <v>366.29999999999995</v>
      </c>
      <c r="I194" s="30">
        <v>311.55</v>
      </c>
      <c r="J194" s="13">
        <v>175.3</v>
      </c>
    </row>
    <row r="195" spans="1:10">
      <c r="A195" s="13" t="s">
        <v>33</v>
      </c>
      <c r="B195" s="13">
        <v>2022</v>
      </c>
      <c r="C195" s="13" t="s">
        <v>41</v>
      </c>
      <c r="D195" s="13">
        <v>2293.6999999999998</v>
      </c>
      <c r="E195" s="13">
        <v>178.4</v>
      </c>
      <c r="F195" s="13">
        <v>157.69999999999999</v>
      </c>
      <c r="G195" s="13">
        <v>1184.3000000000002</v>
      </c>
      <c r="H195" s="13">
        <v>364.1</v>
      </c>
      <c r="I195" s="30">
        <v>333.2</v>
      </c>
      <c r="J195" s="13">
        <v>173.1</v>
      </c>
    </row>
    <row r="196" spans="1:10">
      <c r="A196" s="13" t="s">
        <v>34</v>
      </c>
      <c r="B196" s="13">
        <v>2022</v>
      </c>
      <c r="C196" s="13" t="s">
        <v>41</v>
      </c>
      <c r="D196" s="13">
        <v>2269.2000000000003</v>
      </c>
      <c r="E196" s="13">
        <v>178.8</v>
      </c>
      <c r="F196" s="13">
        <v>161.9</v>
      </c>
      <c r="G196" s="13">
        <v>1217.9000000000001</v>
      </c>
      <c r="H196" s="13">
        <v>364.1</v>
      </c>
      <c r="I196" s="30">
        <v>337.5</v>
      </c>
      <c r="J196" s="13">
        <v>174.3</v>
      </c>
    </row>
    <row r="197" spans="1:10">
      <c r="A197" s="13" t="s">
        <v>30</v>
      </c>
      <c r="B197" s="13">
        <v>2022</v>
      </c>
      <c r="C197" s="13" t="s">
        <v>42</v>
      </c>
      <c r="D197" s="13">
        <v>2267.8000000000002</v>
      </c>
      <c r="E197" s="13">
        <v>179.7</v>
      </c>
      <c r="F197" s="13">
        <v>166.9</v>
      </c>
      <c r="G197" s="13">
        <v>1249.7</v>
      </c>
      <c r="H197" s="13">
        <v>367.6</v>
      </c>
      <c r="I197" s="30">
        <v>312.85000000000002</v>
      </c>
      <c r="J197" s="13">
        <v>176.4</v>
      </c>
    </row>
    <row r="198" spans="1:10">
      <c r="A198" s="13" t="s">
        <v>33</v>
      </c>
      <c r="B198" s="13">
        <v>2022</v>
      </c>
      <c r="C198" s="13" t="s">
        <v>42</v>
      </c>
      <c r="D198" s="13">
        <v>2306.4</v>
      </c>
      <c r="E198" s="13">
        <v>179.2</v>
      </c>
      <c r="F198" s="13">
        <v>158.19999999999999</v>
      </c>
      <c r="G198" s="13">
        <v>1191.3000000000002</v>
      </c>
      <c r="H198" s="13">
        <v>365.79999999999995</v>
      </c>
      <c r="I198" s="30">
        <v>334.5</v>
      </c>
      <c r="J198" s="13">
        <v>174.1</v>
      </c>
    </row>
    <row r="199" spans="1:10">
      <c r="A199" s="13" t="s">
        <v>34</v>
      </c>
      <c r="B199" s="13">
        <v>2022</v>
      </c>
      <c r="C199" s="13" t="s">
        <v>42</v>
      </c>
      <c r="D199" s="13">
        <v>2280.9</v>
      </c>
      <c r="E199" s="13">
        <v>179.5</v>
      </c>
      <c r="F199" s="13">
        <v>162.30000000000001</v>
      </c>
      <c r="G199" s="13">
        <v>1224.5</v>
      </c>
      <c r="H199" s="13">
        <v>365.6</v>
      </c>
      <c r="I199" s="30">
        <v>339</v>
      </c>
      <c r="J199" s="13">
        <v>175.3</v>
      </c>
    </row>
    <row r="200" spans="1:10">
      <c r="A200" s="13" t="s">
        <v>30</v>
      </c>
      <c r="B200" s="13">
        <v>2022</v>
      </c>
      <c r="C200" s="13" t="s">
        <v>43</v>
      </c>
      <c r="D200" s="13">
        <v>2284.5</v>
      </c>
      <c r="E200" s="13">
        <v>180.8</v>
      </c>
      <c r="F200" s="13">
        <v>167.4</v>
      </c>
      <c r="G200" s="13">
        <v>1256.7</v>
      </c>
      <c r="H200" s="13">
        <v>368.8</v>
      </c>
      <c r="I200" s="30">
        <v>313.64999999999998</v>
      </c>
      <c r="J200" s="13">
        <v>177.9</v>
      </c>
    </row>
    <row r="201" spans="1:10">
      <c r="A201" s="13" t="s">
        <v>33</v>
      </c>
      <c r="B201" s="13">
        <v>2022</v>
      </c>
      <c r="C201" s="13" t="s">
        <v>43</v>
      </c>
      <c r="D201" s="13">
        <v>2322.3000000000002</v>
      </c>
      <c r="E201" s="13">
        <v>180</v>
      </c>
      <c r="F201" s="13">
        <v>158.80000000000001</v>
      </c>
      <c r="G201" s="13">
        <v>1196.2</v>
      </c>
      <c r="H201" s="13">
        <v>366.9</v>
      </c>
      <c r="I201" s="30">
        <v>337.2</v>
      </c>
      <c r="J201" s="13">
        <v>175.3</v>
      </c>
    </row>
    <row r="202" spans="1:10">
      <c r="A202" s="13" t="s">
        <v>34</v>
      </c>
      <c r="B202" s="13">
        <v>2022</v>
      </c>
      <c r="C202" s="13" t="s">
        <v>43</v>
      </c>
      <c r="D202" s="13">
        <v>2297.3000000000002</v>
      </c>
      <c r="E202" s="13">
        <v>180.5</v>
      </c>
      <c r="F202" s="13">
        <v>162.9</v>
      </c>
      <c r="G202" s="13">
        <v>1230.6000000000001</v>
      </c>
      <c r="H202" s="13">
        <v>366.8</v>
      </c>
      <c r="I202" s="30">
        <v>341.6</v>
      </c>
      <c r="J202" s="13">
        <v>176.7</v>
      </c>
    </row>
    <row r="203" spans="1:10">
      <c r="A203" s="13" t="s">
        <v>30</v>
      </c>
      <c r="B203" s="13">
        <v>2022</v>
      </c>
      <c r="C203" s="13" t="s">
        <v>45</v>
      </c>
      <c r="D203" s="13">
        <v>2287.6999999999998</v>
      </c>
      <c r="E203" s="13">
        <v>181.9</v>
      </c>
      <c r="F203" s="13">
        <v>167.5</v>
      </c>
      <c r="G203" s="13">
        <v>1262.7000000000003</v>
      </c>
      <c r="H203" s="13">
        <v>370.1</v>
      </c>
      <c r="I203" s="30">
        <v>314.75</v>
      </c>
      <c r="J203" s="13">
        <v>177.8</v>
      </c>
    </row>
    <row r="204" spans="1:10">
      <c r="A204" s="13" t="s">
        <v>33</v>
      </c>
      <c r="B204" s="13">
        <v>2022</v>
      </c>
      <c r="C204" s="13" t="s">
        <v>45</v>
      </c>
      <c r="D204" s="13">
        <v>2314.4</v>
      </c>
      <c r="E204" s="13">
        <v>180.3</v>
      </c>
      <c r="F204" s="13">
        <v>158.9</v>
      </c>
      <c r="G204" s="13">
        <v>1202.7</v>
      </c>
      <c r="H204" s="13">
        <v>368</v>
      </c>
      <c r="I204" s="30">
        <v>338.70000000000005</v>
      </c>
      <c r="J204" s="13">
        <v>174.1</v>
      </c>
    </row>
    <row r="205" spans="1:10">
      <c r="A205" s="13" t="s">
        <v>34</v>
      </c>
      <c r="B205" s="13">
        <v>2022</v>
      </c>
      <c r="C205" s="13" t="s">
        <v>45</v>
      </c>
      <c r="D205" s="13">
        <v>2296.8000000000002</v>
      </c>
      <c r="E205" s="13">
        <v>181.3</v>
      </c>
      <c r="F205" s="13">
        <v>163</v>
      </c>
      <c r="G205" s="13">
        <v>1237</v>
      </c>
      <c r="H205" s="13">
        <v>368</v>
      </c>
      <c r="I205" s="30">
        <v>343.20000000000005</v>
      </c>
      <c r="J205" s="13">
        <v>176.5</v>
      </c>
    </row>
    <row r="206" spans="1:10">
      <c r="A206" s="13" t="s">
        <v>30</v>
      </c>
      <c r="B206" s="13">
        <v>2022</v>
      </c>
      <c r="C206" s="13" t="s">
        <v>46</v>
      </c>
      <c r="D206" s="13">
        <v>2277.1</v>
      </c>
      <c r="E206" s="13">
        <v>182.8</v>
      </c>
      <c r="F206" s="13">
        <v>167.8</v>
      </c>
      <c r="G206" s="13">
        <v>1269.5</v>
      </c>
      <c r="H206" s="13">
        <v>371.4</v>
      </c>
      <c r="I206" s="30">
        <v>315.64999999999998</v>
      </c>
      <c r="J206" s="13">
        <v>177.1</v>
      </c>
    </row>
    <row r="207" spans="1:10">
      <c r="A207" s="13" t="s">
        <v>33</v>
      </c>
      <c r="B207" s="13">
        <v>2022</v>
      </c>
      <c r="C207" s="13" t="s">
        <v>46</v>
      </c>
      <c r="D207" s="13">
        <v>2295.7999999999997</v>
      </c>
      <c r="E207" s="13">
        <v>180.6</v>
      </c>
      <c r="F207" s="13">
        <v>159.4</v>
      </c>
      <c r="G207" s="13">
        <v>1210</v>
      </c>
      <c r="H207" s="13">
        <v>369.29999999999995</v>
      </c>
      <c r="I207" s="30">
        <v>338</v>
      </c>
      <c r="J207" s="13">
        <v>174.1</v>
      </c>
    </row>
    <row r="208" spans="1:10">
      <c r="A208" s="13" t="s">
        <v>34</v>
      </c>
      <c r="B208" s="13">
        <v>2022</v>
      </c>
      <c r="C208" s="13" t="s">
        <v>46</v>
      </c>
      <c r="D208" s="13">
        <v>2283.4</v>
      </c>
      <c r="E208" s="13">
        <v>182</v>
      </c>
      <c r="F208" s="13">
        <v>163.4</v>
      </c>
      <c r="G208" s="13">
        <v>1243.9000000000001</v>
      </c>
      <c r="H208" s="13">
        <v>369.3</v>
      </c>
      <c r="I208" s="30">
        <v>342.79999999999995</v>
      </c>
      <c r="J208" s="13">
        <v>175.7</v>
      </c>
    </row>
    <row r="209" spans="1:10">
      <c r="A209" s="13" t="s">
        <v>30</v>
      </c>
      <c r="B209" s="13">
        <v>2023</v>
      </c>
      <c r="C209" s="13" t="s">
        <v>31</v>
      </c>
      <c r="D209" s="13">
        <v>2283.2000000000003</v>
      </c>
      <c r="E209" s="13">
        <v>183.2</v>
      </c>
      <c r="F209" s="13">
        <v>168.2</v>
      </c>
      <c r="G209" s="13">
        <v>1276.5999999999999</v>
      </c>
      <c r="H209" s="13">
        <v>373.4</v>
      </c>
      <c r="I209" s="30">
        <v>316.45</v>
      </c>
      <c r="J209" s="13">
        <v>177.8</v>
      </c>
    </row>
    <row r="210" spans="1:10">
      <c r="A210" s="13" t="s">
        <v>33</v>
      </c>
      <c r="B210" s="13">
        <v>2023</v>
      </c>
      <c r="C210" s="13" t="s">
        <v>31</v>
      </c>
      <c r="D210" s="13">
        <v>2310.2000000000003</v>
      </c>
      <c r="E210" s="13">
        <v>180.1</v>
      </c>
      <c r="F210" s="13">
        <v>159.5</v>
      </c>
      <c r="G210" s="13">
        <v>1217.5</v>
      </c>
      <c r="H210" s="13">
        <v>370.5</v>
      </c>
      <c r="I210" s="30">
        <v>340.1</v>
      </c>
      <c r="J210" s="13">
        <v>174.9</v>
      </c>
    </row>
    <row r="211" spans="1:10">
      <c r="A211" s="13" t="s">
        <v>34</v>
      </c>
      <c r="B211" s="13">
        <v>2023</v>
      </c>
      <c r="C211" s="13" t="s">
        <v>31</v>
      </c>
      <c r="D211" s="13">
        <v>2292.6999999999998</v>
      </c>
      <c r="E211" s="13">
        <v>182</v>
      </c>
      <c r="F211" s="13">
        <v>163.6</v>
      </c>
      <c r="G211" s="13">
        <v>1251</v>
      </c>
      <c r="H211" s="13">
        <v>371</v>
      </c>
      <c r="I211" s="30">
        <v>345</v>
      </c>
      <c r="J211" s="13">
        <v>176.5</v>
      </c>
    </row>
    <row r="212" spans="1:10">
      <c r="A212" s="13" t="s">
        <v>30</v>
      </c>
      <c r="B212" s="13">
        <v>2023</v>
      </c>
      <c r="C212" s="13" t="s">
        <v>35</v>
      </c>
      <c r="D212" s="13">
        <v>2265.6999999999998</v>
      </c>
      <c r="E212" s="13">
        <v>181.6</v>
      </c>
      <c r="F212" s="13">
        <v>169</v>
      </c>
      <c r="G212" s="13">
        <v>1285.2</v>
      </c>
      <c r="H212" s="13">
        <v>376.20000000000005</v>
      </c>
      <c r="I212" s="30">
        <v>317.85000000000002</v>
      </c>
      <c r="J212" s="13">
        <v>178</v>
      </c>
    </row>
    <row r="213" spans="1:10">
      <c r="A213" s="13" t="s">
        <v>33</v>
      </c>
      <c r="B213" s="13">
        <v>2023</v>
      </c>
      <c r="C213" s="13" t="s">
        <v>35</v>
      </c>
      <c r="D213" s="13">
        <v>2303.1999999999998</v>
      </c>
      <c r="E213" s="13">
        <v>182.8</v>
      </c>
      <c r="F213" s="13">
        <v>159.80000000000001</v>
      </c>
      <c r="G213" s="13">
        <v>1228.5999999999999</v>
      </c>
      <c r="H213" s="13">
        <v>372.7</v>
      </c>
      <c r="I213" s="30">
        <v>342.7</v>
      </c>
      <c r="J213" s="13">
        <v>176.3</v>
      </c>
    </row>
    <row r="214" spans="1:10">
      <c r="A214" s="13" t="s">
        <v>34</v>
      </c>
      <c r="B214" s="13">
        <v>2023</v>
      </c>
      <c r="C214" s="13" t="s">
        <v>35</v>
      </c>
      <c r="D214" s="13">
        <v>2279.1</v>
      </c>
      <c r="E214" s="13">
        <v>182.1</v>
      </c>
      <c r="F214" s="13">
        <v>164.2</v>
      </c>
      <c r="G214" s="13">
        <v>1260.7</v>
      </c>
      <c r="H214" s="13">
        <v>373.6</v>
      </c>
      <c r="I214" s="30">
        <v>347.7</v>
      </c>
      <c r="J214" s="13">
        <v>177.2</v>
      </c>
    </row>
    <row r="215" spans="1:10">
      <c r="A215" s="13" t="s">
        <v>30</v>
      </c>
      <c r="B215" s="13">
        <v>2023</v>
      </c>
      <c r="C215" s="13" t="s">
        <v>36</v>
      </c>
      <c r="D215" s="13">
        <v>2265.8000000000002</v>
      </c>
      <c r="E215" s="13">
        <v>181.4</v>
      </c>
      <c r="F215" s="13">
        <v>169</v>
      </c>
      <c r="G215" s="13">
        <v>1285.2</v>
      </c>
      <c r="H215" s="13">
        <v>376.3</v>
      </c>
      <c r="I215" s="30">
        <v>317.85000000000002</v>
      </c>
      <c r="J215" s="13">
        <v>178</v>
      </c>
    </row>
    <row r="216" spans="1:10">
      <c r="A216" s="13" t="s">
        <v>33</v>
      </c>
      <c r="B216" s="13">
        <v>2023</v>
      </c>
      <c r="C216" s="13" t="s">
        <v>36</v>
      </c>
      <c r="D216" s="13">
        <v>2303.4</v>
      </c>
      <c r="E216" s="13">
        <v>182.6</v>
      </c>
      <c r="F216" s="13">
        <v>159.80000000000001</v>
      </c>
      <c r="G216" s="13">
        <v>1228.5999999999999</v>
      </c>
      <c r="H216" s="13">
        <v>372.7</v>
      </c>
      <c r="I216" s="30">
        <v>342.7</v>
      </c>
      <c r="J216" s="13">
        <v>176.3</v>
      </c>
    </row>
    <row r="217" spans="1:10">
      <c r="A217" s="13" t="s">
        <v>34</v>
      </c>
      <c r="B217" s="13">
        <v>2023</v>
      </c>
      <c r="C217" s="13" t="s">
        <v>36</v>
      </c>
      <c r="D217" s="13">
        <v>2279.1999999999998</v>
      </c>
      <c r="E217" s="13">
        <v>181.9</v>
      </c>
      <c r="F217" s="13">
        <v>164.2</v>
      </c>
      <c r="G217" s="13">
        <v>1260.5999999999999</v>
      </c>
      <c r="H217" s="13">
        <v>373.6</v>
      </c>
      <c r="I217" s="30">
        <v>347.7</v>
      </c>
      <c r="J217" s="13">
        <v>177.2</v>
      </c>
    </row>
    <row r="218" spans="1:10">
      <c r="A218" s="13" t="s">
        <v>30</v>
      </c>
      <c r="B218" s="13">
        <v>2023</v>
      </c>
      <c r="C218" s="13" t="s">
        <v>37</v>
      </c>
      <c r="D218" s="13">
        <v>2274.1999999999998</v>
      </c>
      <c r="E218" s="13">
        <v>181.5</v>
      </c>
      <c r="F218" s="13">
        <v>169.4</v>
      </c>
      <c r="G218" s="13">
        <v>1291.8000000000002</v>
      </c>
      <c r="H218" s="13">
        <v>378.4</v>
      </c>
      <c r="I218" s="30">
        <v>318.35000000000002</v>
      </c>
      <c r="J218" s="13">
        <v>178.8</v>
      </c>
    </row>
    <row r="219" spans="1:10">
      <c r="A219" s="13" t="s">
        <v>33</v>
      </c>
      <c r="B219" s="13">
        <v>2023</v>
      </c>
      <c r="C219" s="13" t="s">
        <v>37</v>
      </c>
      <c r="D219" s="13">
        <v>2317.7000000000003</v>
      </c>
      <c r="E219" s="13">
        <v>182.1</v>
      </c>
      <c r="F219" s="13">
        <v>160.1</v>
      </c>
      <c r="G219" s="13">
        <v>1236.5</v>
      </c>
      <c r="H219" s="13">
        <v>374.4</v>
      </c>
      <c r="I219" s="30">
        <v>344.79999999999995</v>
      </c>
      <c r="J219" s="13">
        <v>177.4</v>
      </c>
    </row>
    <row r="220" spans="1:10">
      <c r="A220" s="13" t="s">
        <v>34</v>
      </c>
      <c r="B220" s="13">
        <v>2023</v>
      </c>
      <c r="C220" s="13" t="s">
        <v>37</v>
      </c>
      <c r="D220" s="13">
        <v>2289.6000000000004</v>
      </c>
      <c r="E220" s="13">
        <v>181.7</v>
      </c>
      <c r="F220" s="13">
        <v>164.5</v>
      </c>
      <c r="G220" s="13">
        <v>1267.9000000000001</v>
      </c>
      <c r="H220" s="13">
        <v>375.6</v>
      </c>
      <c r="I220" s="30">
        <v>349.79999999999995</v>
      </c>
      <c r="J220" s="13">
        <v>178.1</v>
      </c>
    </row>
    <row r="221" spans="1:10">
      <c r="A221" s="13" t="s">
        <v>30</v>
      </c>
      <c r="B221" s="13">
        <v>2023</v>
      </c>
      <c r="C221" s="13" t="s">
        <v>38</v>
      </c>
      <c r="D221" s="13">
        <v>2290.7000000000007</v>
      </c>
      <c r="E221" s="13">
        <v>182.5</v>
      </c>
      <c r="F221" s="13">
        <v>169.7</v>
      </c>
      <c r="G221" s="13">
        <v>1296.7</v>
      </c>
      <c r="H221" s="13">
        <v>379.4</v>
      </c>
      <c r="I221" s="30">
        <v>319.05</v>
      </c>
      <c r="J221" s="13">
        <v>179.8</v>
      </c>
    </row>
    <row r="222" spans="1:10">
      <c r="A222" s="13" t="s">
        <v>33</v>
      </c>
      <c r="B222" s="13">
        <v>2023</v>
      </c>
      <c r="C222" s="13" t="s">
        <v>38</v>
      </c>
      <c r="D222" s="13">
        <v>2335.1</v>
      </c>
      <c r="E222" s="13">
        <v>183.4</v>
      </c>
      <c r="F222" s="13">
        <v>160.4</v>
      </c>
      <c r="G222" s="13">
        <v>1240.4999999999998</v>
      </c>
      <c r="H222" s="13">
        <v>375.79999999999995</v>
      </c>
      <c r="I222" s="30">
        <v>345.7</v>
      </c>
      <c r="J222" s="13">
        <v>178.2</v>
      </c>
    </row>
    <row r="223" spans="1:10">
      <c r="A223" s="13" t="s">
        <v>34</v>
      </c>
      <c r="B223" s="13">
        <v>2023</v>
      </c>
      <c r="C223" s="13" t="s">
        <v>38</v>
      </c>
      <c r="D223" s="13">
        <v>2306.9</v>
      </c>
      <c r="E223" s="13">
        <v>182.8</v>
      </c>
      <c r="F223" s="13">
        <v>164.8</v>
      </c>
      <c r="G223" s="13">
        <v>1272.3999999999999</v>
      </c>
      <c r="H223" s="13">
        <v>376.7</v>
      </c>
      <c r="I223" s="30">
        <v>350.79999999999995</v>
      </c>
      <c r="J223" s="13">
        <v>179.1</v>
      </c>
    </row>
  </sheetData>
  <conditionalFormatting sqref="O2:U8 O10:U10 V3:W8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A0A8-A2B9-48BC-B0FD-2A61D0521839}">
  <dimension ref="A1:AX65"/>
  <sheetViews>
    <sheetView topLeftCell="S16" zoomScale="55" zoomScaleNormal="55" workbookViewId="0">
      <selection activeCell="O41" sqref="O41"/>
    </sheetView>
  </sheetViews>
  <sheetFormatPr defaultRowHeight="14.4"/>
  <cols>
    <col min="4" max="4" width="19.88671875" customWidth="1"/>
    <col min="5" max="5" width="13.44140625" customWidth="1"/>
    <col min="7" max="7" width="16.88671875" customWidth="1"/>
    <col min="8" max="8" width="12.6640625" customWidth="1"/>
    <col min="10" max="10" width="11.77734375" customWidth="1"/>
    <col min="11" max="11" width="19" customWidth="1"/>
    <col min="12" max="12" width="22.33203125" customWidth="1"/>
    <col min="14" max="14" width="22.77734375" customWidth="1"/>
    <col min="15" max="15" width="32.109375" customWidth="1"/>
    <col min="16" max="16" width="18.77734375" customWidth="1"/>
    <col min="20" max="20" width="19.5546875" customWidth="1"/>
    <col min="21" max="21" width="16.88671875" customWidth="1"/>
    <col min="23" max="24" width="9.77734375" bestFit="1" customWidth="1"/>
    <col min="25" max="25" width="18.77734375" bestFit="1" customWidth="1"/>
    <col min="26" max="26" width="14.5546875" bestFit="1" customWidth="1"/>
    <col min="27" max="27" width="9.77734375" bestFit="1" customWidth="1"/>
    <col min="28" max="28" width="15.88671875" bestFit="1" customWidth="1"/>
    <col min="29" max="29" width="11.21875" bestFit="1" customWidth="1"/>
    <col min="30" max="30" width="9.21875" bestFit="1" customWidth="1"/>
    <col min="31" max="31" width="10.21875" bestFit="1" customWidth="1"/>
    <col min="32" max="32" width="17.88671875" bestFit="1" customWidth="1"/>
    <col min="33" max="33" width="21.33203125" bestFit="1" customWidth="1"/>
    <col min="34" max="34" width="9.21875" bestFit="1" customWidth="1"/>
    <col min="35" max="35" width="21.77734375" bestFit="1" customWidth="1"/>
    <col min="36" max="36" width="31.5546875" bestFit="1" customWidth="1"/>
    <col min="37" max="37" width="17.5546875" bestFit="1" customWidth="1"/>
    <col min="38" max="38" width="11.109375" bestFit="1" customWidth="1"/>
    <col min="40" max="40" width="9.5546875" bestFit="1" customWidth="1"/>
    <col min="42" max="42" width="17.109375" bestFit="1" customWidth="1"/>
    <col min="43" max="43" width="9.5546875" bestFit="1" customWidth="1"/>
    <col min="44" max="44" width="10.2187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49</v>
      </c>
    </row>
    <row r="2" spans="1:26">
      <c r="A2" t="s">
        <v>30</v>
      </c>
      <c r="B2">
        <v>2022</v>
      </c>
      <c r="C2" t="s">
        <v>39</v>
      </c>
      <c r="D2">
        <v>153.80000000000001</v>
      </c>
      <c r="E2">
        <v>217.2</v>
      </c>
      <c r="F2">
        <v>169.6</v>
      </c>
      <c r="G2">
        <v>165.4</v>
      </c>
      <c r="H2">
        <v>208.1</v>
      </c>
      <c r="I2">
        <v>165.8</v>
      </c>
      <c r="J2">
        <v>167.3</v>
      </c>
      <c r="K2">
        <v>164.6</v>
      </c>
      <c r="L2">
        <v>119.1</v>
      </c>
      <c r="M2">
        <v>188.9</v>
      </c>
      <c r="N2">
        <v>174.2</v>
      </c>
      <c r="O2">
        <v>181.9</v>
      </c>
      <c r="P2">
        <v>172.4</v>
      </c>
      <c r="Q2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2248.3000000000002</v>
      </c>
      <c r="V2" s="65" t="s">
        <v>62</v>
      </c>
      <c r="W2" s="65"/>
      <c r="X2" s="65"/>
      <c r="Y2" s="66"/>
      <c r="Z2" s="36" t="s">
        <v>34</v>
      </c>
    </row>
    <row r="3" spans="1:26">
      <c r="A3" t="s">
        <v>33</v>
      </c>
      <c r="B3">
        <v>2022</v>
      </c>
      <c r="C3" t="s">
        <v>39</v>
      </c>
      <c r="D3">
        <v>157.5</v>
      </c>
      <c r="E3">
        <v>223.4</v>
      </c>
      <c r="F3">
        <v>172.8</v>
      </c>
      <c r="G3">
        <v>166.4</v>
      </c>
      <c r="H3">
        <v>188.6</v>
      </c>
      <c r="I3">
        <v>174.1</v>
      </c>
      <c r="J3">
        <v>211.5</v>
      </c>
      <c r="K3">
        <v>163.6</v>
      </c>
      <c r="L3">
        <v>121.4</v>
      </c>
      <c r="M3">
        <v>183.5</v>
      </c>
      <c r="N3">
        <v>159.1</v>
      </c>
      <c r="O3">
        <v>186.3</v>
      </c>
      <c r="P3">
        <v>179.3</v>
      </c>
      <c r="Q3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2287.5</v>
      </c>
      <c r="V3" s="35" t="s">
        <v>1</v>
      </c>
      <c r="W3" s="35" t="s">
        <v>2</v>
      </c>
      <c r="X3" s="35" t="s">
        <v>49</v>
      </c>
      <c r="Y3" s="35" t="s">
        <v>58</v>
      </c>
      <c r="Z3" s="37" t="s">
        <v>63</v>
      </c>
    </row>
    <row r="4" spans="1:26">
      <c r="A4" t="s">
        <v>34</v>
      </c>
      <c r="B4">
        <v>2022</v>
      </c>
      <c r="C4" t="s">
        <v>39</v>
      </c>
      <c r="D4">
        <v>155</v>
      </c>
      <c r="E4">
        <v>219.4</v>
      </c>
      <c r="F4">
        <v>170.8</v>
      </c>
      <c r="G4">
        <v>165.8</v>
      </c>
      <c r="H4">
        <v>200.9</v>
      </c>
      <c r="I4">
        <v>169.7</v>
      </c>
      <c r="J4">
        <v>182.3</v>
      </c>
      <c r="K4">
        <v>164.3</v>
      </c>
      <c r="L4">
        <v>119.9</v>
      </c>
      <c r="M4">
        <v>187.1</v>
      </c>
      <c r="N4">
        <v>167.9</v>
      </c>
      <c r="O4">
        <v>183.9</v>
      </c>
      <c r="P4">
        <v>174.9</v>
      </c>
      <c r="Q4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2261.9</v>
      </c>
      <c r="V4" s="5">
        <v>2022</v>
      </c>
      <c r="W4" s="5" t="s">
        <v>39</v>
      </c>
      <c r="X4" s="5">
        <f>SUMIFS($Q:$Q,$C:$C,$W4,$A:$A,$Z$2)</f>
        <v>2261.9</v>
      </c>
      <c r="Y4" s="5"/>
      <c r="Z4" s="5"/>
    </row>
    <row r="5" spans="1:26">
      <c r="A5" t="s">
        <v>30</v>
      </c>
      <c r="B5">
        <v>2022</v>
      </c>
      <c r="C5" t="s">
        <v>40</v>
      </c>
      <c r="D5">
        <v>155.19999999999999</v>
      </c>
      <c r="E5">
        <v>210.8</v>
      </c>
      <c r="F5">
        <v>174.3</v>
      </c>
      <c r="G5">
        <v>166.3</v>
      </c>
      <c r="H5">
        <v>202.2</v>
      </c>
      <c r="I5">
        <v>169.6</v>
      </c>
      <c r="J5">
        <v>168.6</v>
      </c>
      <c r="K5">
        <v>164.4</v>
      </c>
      <c r="L5">
        <v>119.2</v>
      </c>
      <c r="M5">
        <v>191.8</v>
      </c>
      <c r="N5">
        <v>174.5</v>
      </c>
      <c r="O5">
        <v>183.1</v>
      </c>
      <c r="P5">
        <v>172.5</v>
      </c>
      <c r="Q5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2252.5</v>
      </c>
      <c r="V5" s="5">
        <v>2022</v>
      </c>
      <c r="W5" s="5" t="s">
        <v>40</v>
      </c>
      <c r="X5" s="5">
        <f t="shared" ref="X5:X15" si="0">SUMIFS($Q:$Q,$C:$C,$W5,$A:$A,$Z$2)</f>
        <v>2266.3000000000002</v>
      </c>
      <c r="Y5" s="11">
        <f>(X5-X4)/X4*100</f>
        <v>0.19452672531942572</v>
      </c>
      <c r="Z5" s="11">
        <f>ABS(Y5-Y4)</f>
        <v>0.19452672531942572</v>
      </c>
    </row>
    <row r="6" spans="1:26">
      <c r="A6" t="s">
        <v>33</v>
      </c>
      <c r="B6">
        <v>2022</v>
      </c>
      <c r="C6" t="s">
        <v>40</v>
      </c>
      <c r="D6">
        <v>159.30000000000001</v>
      </c>
      <c r="E6">
        <v>217.1</v>
      </c>
      <c r="F6">
        <v>176.6</v>
      </c>
      <c r="G6">
        <v>167.1</v>
      </c>
      <c r="H6">
        <v>184.8</v>
      </c>
      <c r="I6">
        <v>179.5</v>
      </c>
      <c r="J6">
        <v>208.5</v>
      </c>
      <c r="K6">
        <v>164</v>
      </c>
      <c r="L6">
        <v>121.5</v>
      </c>
      <c r="M6">
        <v>186.3</v>
      </c>
      <c r="N6">
        <v>159.80000000000001</v>
      </c>
      <c r="O6">
        <v>187.7</v>
      </c>
      <c r="P6">
        <v>179.4</v>
      </c>
      <c r="Q6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2291.6</v>
      </c>
      <c r="V6" s="5">
        <v>2022</v>
      </c>
      <c r="W6" s="5" t="s">
        <v>41</v>
      </c>
      <c r="X6" s="5">
        <f t="shared" si="0"/>
        <v>2269.2000000000003</v>
      </c>
      <c r="Y6" s="11">
        <f t="shared" ref="Y6:Y15" si="1">(X6-X5)/X5*100</f>
        <v>0.12796187618585758</v>
      </c>
      <c r="Z6" s="11">
        <f t="shared" ref="Z6:Z15" si="2">ABS(Y6-Y5)</f>
        <v>6.6564849133568138E-2</v>
      </c>
    </row>
    <row r="7" spans="1:26">
      <c r="A7" t="s">
        <v>34</v>
      </c>
      <c r="B7">
        <v>2022</v>
      </c>
      <c r="C7" t="s">
        <v>40</v>
      </c>
      <c r="D7">
        <v>156.5</v>
      </c>
      <c r="E7">
        <v>213</v>
      </c>
      <c r="F7">
        <v>175.2</v>
      </c>
      <c r="G7">
        <v>166.6</v>
      </c>
      <c r="H7">
        <v>195.8</v>
      </c>
      <c r="I7">
        <v>174.2</v>
      </c>
      <c r="J7">
        <v>182.1</v>
      </c>
      <c r="K7">
        <v>164.3</v>
      </c>
      <c r="L7">
        <v>120</v>
      </c>
      <c r="M7">
        <v>190</v>
      </c>
      <c r="N7">
        <v>168.4</v>
      </c>
      <c r="O7">
        <v>185.2</v>
      </c>
      <c r="P7">
        <v>175</v>
      </c>
      <c r="Q7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2266.3000000000002</v>
      </c>
      <c r="V7" s="5">
        <v>2022</v>
      </c>
      <c r="W7" s="5" t="s">
        <v>42</v>
      </c>
      <c r="X7" s="5">
        <f t="shared" si="0"/>
        <v>2280.9</v>
      </c>
      <c r="Y7" s="11">
        <f t="shared" si="1"/>
        <v>0.51560021152828384</v>
      </c>
      <c r="Z7" s="11">
        <f t="shared" si="2"/>
        <v>0.38763833534242625</v>
      </c>
    </row>
    <row r="8" spans="1:26">
      <c r="A8" t="s">
        <v>30</v>
      </c>
      <c r="B8">
        <v>2022</v>
      </c>
      <c r="C8" t="s">
        <v>41</v>
      </c>
      <c r="D8">
        <v>159.5</v>
      </c>
      <c r="E8">
        <v>204.1</v>
      </c>
      <c r="F8">
        <v>168.3</v>
      </c>
      <c r="G8">
        <v>167.9</v>
      </c>
      <c r="H8">
        <v>198.1</v>
      </c>
      <c r="I8">
        <v>169.2</v>
      </c>
      <c r="J8">
        <v>173.1</v>
      </c>
      <c r="K8">
        <v>167.1</v>
      </c>
      <c r="L8">
        <v>120.2</v>
      </c>
      <c r="M8">
        <v>195.6</v>
      </c>
      <c r="N8">
        <v>174.8</v>
      </c>
      <c r="O8">
        <v>184</v>
      </c>
      <c r="P8">
        <v>173.9</v>
      </c>
      <c r="Q8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2255.7999999999997</v>
      </c>
      <c r="V8" s="5">
        <v>2022</v>
      </c>
      <c r="W8" s="5" t="s">
        <v>43</v>
      </c>
      <c r="X8" s="5">
        <f t="shared" si="0"/>
        <v>2297.3000000000002</v>
      </c>
      <c r="Y8" s="11">
        <f t="shared" si="1"/>
        <v>0.7190144241308295</v>
      </c>
      <c r="Z8" s="11">
        <f t="shared" si="2"/>
        <v>0.20341421260254566</v>
      </c>
    </row>
    <row r="9" spans="1:26">
      <c r="A9" t="s">
        <v>33</v>
      </c>
      <c r="B9">
        <v>2022</v>
      </c>
      <c r="C9" t="s">
        <v>41</v>
      </c>
      <c r="D9">
        <v>162.1</v>
      </c>
      <c r="E9">
        <v>210.9</v>
      </c>
      <c r="F9">
        <v>170.6</v>
      </c>
      <c r="G9">
        <v>168.4</v>
      </c>
      <c r="H9">
        <v>182.5</v>
      </c>
      <c r="I9">
        <v>177.1</v>
      </c>
      <c r="J9">
        <v>213.1</v>
      </c>
      <c r="K9">
        <v>167.3</v>
      </c>
      <c r="L9">
        <v>122.2</v>
      </c>
      <c r="M9">
        <v>189.7</v>
      </c>
      <c r="N9">
        <v>160.5</v>
      </c>
      <c r="O9">
        <v>188.9</v>
      </c>
      <c r="P9">
        <v>180.4</v>
      </c>
      <c r="Q9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2293.6999999999998</v>
      </c>
      <c r="V9" s="5">
        <v>2022</v>
      </c>
      <c r="W9" s="5" t="s">
        <v>45</v>
      </c>
      <c r="X9" s="5">
        <f t="shared" si="0"/>
        <v>2296.8000000000002</v>
      </c>
      <c r="Y9" s="11">
        <f t="shared" si="1"/>
        <v>-2.1764680276846731E-2</v>
      </c>
      <c r="Z9" s="11">
        <f t="shared" si="2"/>
        <v>0.74077910440767625</v>
      </c>
    </row>
    <row r="10" spans="1:26">
      <c r="A10" t="s">
        <v>34</v>
      </c>
      <c r="B10">
        <v>2022</v>
      </c>
      <c r="C10" t="s">
        <v>41</v>
      </c>
      <c r="D10">
        <v>160.30000000000001</v>
      </c>
      <c r="E10">
        <v>206.5</v>
      </c>
      <c r="F10">
        <v>169.2</v>
      </c>
      <c r="G10">
        <v>168.1</v>
      </c>
      <c r="H10">
        <v>192.4</v>
      </c>
      <c r="I10">
        <v>172.9</v>
      </c>
      <c r="J10">
        <v>186.7</v>
      </c>
      <c r="K10">
        <v>167.2</v>
      </c>
      <c r="L10">
        <v>120.9</v>
      </c>
      <c r="M10">
        <v>193.6</v>
      </c>
      <c r="N10">
        <v>168.8</v>
      </c>
      <c r="O10">
        <v>186.3</v>
      </c>
      <c r="P10">
        <v>176.3</v>
      </c>
      <c r="Q10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2269.2000000000003</v>
      </c>
      <c r="V10" s="5">
        <v>2022</v>
      </c>
      <c r="W10" s="5" t="s">
        <v>46</v>
      </c>
      <c r="X10" s="5">
        <f t="shared" si="0"/>
        <v>2283.4</v>
      </c>
      <c r="Y10" s="11">
        <f t="shared" si="1"/>
        <v>-0.58342041100662179</v>
      </c>
      <c r="Z10" s="11">
        <f t="shared" si="2"/>
        <v>0.56165573072977504</v>
      </c>
    </row>
    <row r="11" spans="1:26">
      <c r="A11" t="s">
        <v>30</v>
      </c>
      <c r="B11">
        <v>2022</v>
      </c>
      <c r="C11" t="s">
        <v>42</v>
      </c>
      <c r="D11">
        <v>162.9</v>
      </c>
      <c r="E11">
        <v>206.7</v>
      </c>
      <c r="F11">
        <v>169</v>
      </c>
      <c r="G11">
        <v>169.5</v>
      </c>
      <c r="H11">
        <v>194.1</v>
      </c>
      <c r="I11">
        <v>164.1</v>
      </c>
      <c r="J11">
        <v>176.9</v>
      </c>
      <c r="K11">
        <v>169</v>
      </c>
      <c r="L11">
        <v>120.8</v>
      </c>
      <c r="M11">
        <v>199.1</v>
      </c>
      <c r="N11">
        <v>175.4</v>
      </c>
      <c r="O11">
        <v>184.8</v>
      </c>
      <c r="P11">
        <v>175.5</v>
      </c>
      <c r="Q11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2267.8000000000002</v>
      </c>
      <c r="V11" s="5">
        <v>2023</v>
      </c>
      <c r="W11" s="5" t="s">
        <v>31</v>
      </c>
      <c r="X11" s="5">
        <f t="shared" si="0"/>
        <v>2292.6999999999998</v>
      </c>
      <c r="Y11" s="11">
        <f t="shared" si="1"/>
        <v>0.40728737847068963</v>
      </c>
      <c r="Z11" s="11">
        <f t="shared" si="2"/>
        <v>0.99070778947731142</v>
      </c>
    </row>
    <row r="12" spans="1:26">
      <c r="A12" t="s">
        <v>33</v>
      </c>
      <c r="B12">
        <v>2022</v>
      </c>
      <c r="C12" t="s">
        <v>42</v>
      </c>
      <c r="D12">
        <v>164.9</v>
      </c>
      <c r="E12">
        <v>213.7</v>
      </c>
      <c r="F12">
        <v>170.9</v>
      </c>
      <c r="G12">
        <v>170.1</v>
      </c>
      <c r="H12">
        <v>179.3</v>
      </c>
      <c r="I12">
        <v>167.5</v>
      </c>
      <c r="J12">
        <v>220.8</v>
      </c>
      <c r="K12">
        <v>169.2</v>
      </c>
      <c r="L12">
        <v>123.1</v>
      </c>
      <c r="M12">
        <v>193.6</v>
      </c>
      <c r="N12">
        <v>161.1</v>
      </c>
      <c r="O12">
        <v>190.4</v>
      </c>
      <c r="P12">
        <v>181.8</v>
      </c>
      <c r="Q12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2306.4</v>
      </c>
      <c r="V12" s="5">
        <v>2023</v>
      </c>
      <c r="W12" s="5" t="s">
        <v>35</v>
      </c>
      <c r="X12" s="5">
        <f t="shared" si="0"/>
        <v>2279.1</v>
      </c>
      <c r="Y12" s="11">
        <f t="shared" si="1"/>
        <v>-0.59318707201116194</v>
      </c>
      <c r="Z12" s="11">
        <f t="shared" si="2"/>
        <v>1.0004744504818515</v>
      </c>
    </row>
    <row r="13" spans="1:26">
      <c r="A13" t="s">
        <v>34</v>
      </c>
      <c r="B13">
        <v>2022</v>
      </c>
      <c r="C13" t="s">
        <v>42</v>
      </c>
      <c r="D13">
        <v>163.5</v>
      </c>
      <c r="E13">
        <v>209.2</v>
      </c>
      <c r="F13">
        <v>169.7</v>
      </c>
      <c r="G13">
        <v>169.7</v>
      </c>
      <c r="H13">
        <v>188.7</v>
      </c>
      <c r="I13">
        <v>165.7</v>
      </c>
      <c r="J13">
        <v>191.8</v>
      </c>
      <c r="K13">
        <v>169.1</v>
      </c>
      <c r="L13">
        <v>121.6</v>
      </c>
      <c r="M13">
        <v>197.3</v>
      </c>
      <c r="N13">
        <v>169.4</v>
      </c>
      <c r="O13">
        <v>187.4</v>
      </c>
      <c r="P13">
        <v>177.8</v>
      </c>
      <c r="Q13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2280.9</v>
      </c>
      <c r="V13" s="5">
        <v>2023</v>
      </c>
      <c r="W13" s="5" t="s">
        <v>36</v>
      </c>
      <c r="X13" s="5">
        <f t="shared" si="0"/>
        <v>2279.1999999999998</v>
      </c>
      <c r="Y13" s="11">
        <f t="shared" si="1"/>
        <v>4.3876968978943031E-3</v>
      </c>
      <c r="Z13" s="11">
        <f t="shared" si="2"/>
        <v>0.59757476890905625</v>
      </c>
    </row>
    <row r="14" spans="1:26">
      <c r="A14" t="s">
        <v>30</v>
      </c>
      <c r="B14">
        <v>2022</v>
      </c>
      <c r="C14" t="s">
        <v>43</v>
      </c>
      <c r="D14">
        <v>164.7</v>
      </c>
      <c r="E14">
        <v>208.8</v>
      </c>
      <c r="F14">
        <v>170.3</v>
      </c>
      <c r="G14">
        <v>170.9</v>
      </c>
      <c r="H14">
        <v>191.6</v>
      </c>
      <c r="I14">
        <v>162.19999999999999</v>
      </c>
      <c r="J14">
        <v>184.8</v>
      </c>
      <c r="K14">
        <v>169.7</v>
      </c>
      <c r="L14">
        <v>121.1</v>
      </c>
      <c r="M14">
        <v>201.6</v>
      </c>
      <c r="N14">
        <v>175.8</v>
      </c>
      <c r="O14">
        <v>185.6</v>
      </c>
      <c r="P14">
        <v>177.4</v>
      </c>
      <c r="Q14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2284.5</v>
      </c>
      <c r="V14" s="5">
        <v>2023</v>
      </c>
      <c r="W14" s="5" t="s">
        <v>37</v>
      </c>
      <c r="X14" s="5">
        <f t="shared" si="0"/>
        <v>2289.6000000000004</v>
      </c>
      <c r="Y14" s="11">
        <f t="shared" si="1"/>
        <v>0.45630045630048033</v>
      </c>
      <c r="Z14" s="11">
        <f t="shared" si="2"/>
        <v>0.45191275940258602</v>
      </c>
    </row>
    <row r="15" spans="1:26">
      <c r="A15" t="s">
        <v>33</v>
      </c>
      <c r="B15">
        <v>2022</v>
      </c>
      <c r="C15" t="s">
        <v>43</v>
      </c>
      <c r="D15">
        <v>166.4</v>
      </c>
      <c r="E15">
        <v>214.9</v>
      </c>
      <c r="F15">
        <v>171.9</v>
      </c>
      <c r="G15">
        <v>171</v>
      </c>
      <c r="H15">
        <v>177.7</v>
      </c>
      <c r="I15">
        <v>165.7</v>
      </c>
      <c r="J15">
        <v>228.6</v>
      </c>
      <c r="K15">
        <v>169.9</v>
      </c>
      <c r="L15">
        <v>123.4</v>
      </c>
      <c r="M15">
        <v>196.4</v>
      </c>
      <c r="N15">
        <v>161.6</v>
      </c>
      <c r="O15">
        <v>191.5</v>
      </c>
      <c r="P15">
        <v>183.3</v>
      </c>
      <c r="Q15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2322.3000000000002</v>
      </c>
      <c r="V15" s="5">
        <v>2023</v>
      </c>
      <c r="W15" s="5" t="s">
        <v>38</v>
      </c>
      <c r="X15" s="5">
        <f t="shared" si="0"/>
        <v>2306.9</v>
      </c>
      <c r="Y15" s="11">
        <f t="shared" si="1"/>
        <v>0.75559049615652185</v>
      </c>
      <c r="Z15" s="11">
        <f t="shared" si="2"/>
        <v>0.29929003985604152</v>
      </c>
    </row>
    <row r="16" spans="1:26">
      <c r="A16" t="s">
        <v>34</v>
      </c>
      <c r="B16">
        <v>2022</v>
      </c>
      <c r="C16" t="s">
        <v>43</v>
      </c>
      <c r="D16">
        <v>165.2</v>
      </c>
      <c r="E16">
        <v>210.9</v>
      </c>
      <c r="F16">
        <v>170.9</v>
      </c>
      <c r="G16">
        <v>170.9</v>
      </c>
      <c r="H16">
        <v>186.5</v>
      </c>
      <c r="I16">
        <v>163.80000000000001</v>
      </c>
      <c r="J16">
        <v>199.7</v>
      </c>
      <c r="K16">
        <v>169.8</v>
      </c>
      <c r="L16">
        <v>121.9</v>
      </c>
      <c r="M16">
        <v>199.9</v>
      </c>
      <c r="N16">
        <v>169.9</v>
      </c>
      <c r="O16">
        <v>188.3</v>
      </c>
      <c r="P16">
        <v>179.6</v>
      </c>
      <c r="Q16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2297.3000000000002</v>
      </c>
    </row>
    <row r="17" spans="1:50">
      <c r="A17" t="s">
        <v>30</v>
      </c>
      <c r="B17">
        <v>2022</v>
      </c>
      <c r="C17" t="s">
        <v>45</v>
      </c>
      <c r="D17">
        <v>166.9</v>
      </c>
      <c r="E17">
        <v>207.2</v>
      </c>
      <c r="F17">
        <v>180.2</v>
      </c>
      <c r="G17">
        <v>172.3</v>
      </c>
      <c r="H17">
        <v>194</v>
      </c>
      <c r="I17">
        <v>159.1</v>
      </c>
      <c r="J17">
        <v>171.6</v>
      </c>
      <c r="K17">
        <v>170.2</v>
      </c>
      <c r="L17">
        <v>121.5</v>
      </c>
      <c r="M17">
        <v>204.8</v>
      </c>
      <c r="N17">
        <v>176.4</v>
      </c>
      <c r="O17">
        <v>186.9</v>
      </c>
      <c r="P17">
        <v>176.6</v>
      </c>
      <c r="Q17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2287.6999999999998</v>
      </c>
    </row>
    <row r="18" spans="1:50">
      <c r="A18" t="s">
        <v>33</v>
      </c>
      <c r="B18">
        <v>2022</v>
      </c>
      <c r="C18" t="s">
        <v>45</v>
      </c>
      <c r="D18">
        <v>168.4</v>
      </c>
      <c r="E18">
        <v>213.4</v>
      </c>
      <c r="F18">
        <v>183.2</v>
      </c>
      <c r="G18">
        <v>172.3</v>
      </c>
      <c r="H18">
        <v>180</v>
      </c>
      <c r="I18">
        <v>162.6</v>
      </c>
      <c r="J18">
        <v>205.5</v>
      </c>
      <c r="K18">
        <v>171</v>
      </c>
      <c r="L18">
        <v>123.4</v>
      </c>
      <c r="M18">
        <v>198.8</v>
      </c>
      <c r="N18">
        <v>162.1</v>
      </c>
      <c r="O18">
        <v>192.4</v>
      </c>
      <c r="P18">
        <v>181.3</v>
      </c>
      <c r="Q18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2314.4</v>
      </c>
    </row>
    <row r="19" spans="1:50">
      <c r="A19" t="s">
        <v>34</v>
      </c>
      <c r="B19">
        <v>2022</v>
      </c>
      <c r="C19" t="s">
        <v>45</v>
      </c>
      <c r="D19">
        <v>167.4</v>
      </c>
      <c r="E19">
        <v>209.4</v>
      </c>
      <c r="F19">
        <v>181.4</v>
      </c>
      <c r="G19">
        <v>172.3</v>
      </c>
      <c r="H19">
        <v>188.9</v>
      </c>
      <c r="I19">
        <v>160.69999999999999</v>
      </c>
      <c r="J19">
        <v>183.1</v>
      </c>
      <c r="K19">
        <v>170.5</v>
      </c>
      <c r="L19">
        <v>122.1</v>
      </c>
      <c r="M19">
        <v>202.8</v>
      </c>
      <c r="N19">
        <v>170.4</v>
      </c>
      <c r="O19">
        <v>189.5</v>
      </c>
      <c r="P19">
        <v>178.3</v>
      </c>
      <c r="Q19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2296.8000000000002</v>
      </c>
      <c r="AI19" s="25" t="s">
        <v>34</v>
      </c>
    </row>
    <row r="20" spans="1:50">
      <c r="A20" t="s">
        <v>30</v>
      </c>
      <c r="B20">
        <v>2022</v>
      </c>
      <c r="C20" t="s">
        <v>46</v>
      </c>
      <c r="D20">
        <v>168.8</v>
      </c>
      <c r="E20">
        <v>206.9</v>
      </c>
      <c r="F20">
        <v>189.1</v>
      </c>
      <c r="G20">
        <v>173.4</v>
      </c>
      <c r="H20">
        <v>193.9</v>
      </c>
      <c r="I20">
        <v>156.69999999999999</v>
      </c>
      <c r="J20">
        <v>150.19999999999999</v>
      </c>
      <c r="K20">
        <v>170.5</v>
      </c>
      <c r="L20">
        <v>121.2</v>
      </c>
      <c r="M20">
        <v>207.5</v>
      </c>
      <c r="N20">
        <v>176.8</v>
      </c>
      <c r="O20">
        <v>187.7</v>
      </c>
      <c r="P20">
        <v>174.4</v>
      </c>
      <c r="Q20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2277.1</v>
      </c>
      <c r="W20" s="35" t="s">
        <v>1</v>
      </c>
      <c r="X20" s="35" t="s">
        <v>2</v>
      </c>
      <c r="Y20" s="37" t="s">
        <v>3</v>
      </c>
      <c r="Z20" s="37" t="s">
        <v>4</v>
      </c>
      <c r="AA20" s="37" t="s">
        <v>5</v>
      </c>
      <c r="AB20" s="37" t="s">
        <v>6</v>
      </c>
      <c r="AC20" s="37" t="s">
        <v>7</v>
      </c>
      <c r="AD20" s="37" t="s">
        <v>8</v>
      </c>
      <c r="AE20" s="37" t="s">
        <v>9</v>
      </c>
      <c r="AF20" s="37" t="s">
        <v>10</v>
      </c>
      <c r="AG20" s="37" t="s">
        <v>11</v>
      </c>
      <c r="AH20" s="37" t="s">
        <v>12</v>
      </c>
      <c r="AI20" s="37" t="s">
        <v>13</v>
      </c>
      <c r="AJ20" s="37" t="s">
        <v>14</v>
      </c>
      <c r="AK20" s="37" t="s">
        <v>15</v>
      </c>
      <c r="AL20" s="37" t="s">
        <v>3</v>
      </c>
      <c r="AM20" s="37" t="s">
        <v>4</v>
      </c>
      <c r="AN20" s="37" t="s">
        <v>5</v>
      </c>
      <c r="AO20" s="37" t="s">
        <v>6</v>
      </c>
      <c r="AP20" s="37" t="s">
        <v>7</v>
      </c>
      <c r="AQ20" s="37" t="s">
        <v>8</v>
      </c>
      <c r="AR20" s="37" t="s">
        <v>9</v>
      </c>
      <c r="AS20" s="37" t="s">
        <v>10</v>
      </c>
      <c r="AT20" s="37" t="s">
        <v>11</v>
      </c>
      <c r="AU20" s="37" t="s">
        <v>12</v>
      </c>
      <c r="AV20" s="37" t="s">
        <v>13</v>
      </c>
      <c r="AW20" s="37" t="s">
        <v>14</v>
      </c>
      <c r="AX20" s="37" t="s">
        <v>15</v>
      </c>
    </row>
    <row r="21" spans="1:50">
      <c r="A21" t="s">
        <v>33</v>
      </c>
      <c r="B21">
        <v>2022</v>
      </c>
      <c r="C21" t="s">
        <v>46</v>
      </c>
      <c r="D21">
        <v>170.2</v>
      </c>
      <c r="E21">
        <v>212.9</v>
      </c>
      <c r="F21">
        <v>191.9</v>
      </c>
      <c r="G21">
        <v>173.9</v>
      </c>
      <c r="H21">
        <v>179.1</v>
      </c>
      <c r="I21">
        <v>159.5</v>
      </c>
      <c r="J21">
        <v>178.7</v>
      </c>
      <c r="K21">
        <v>171.3</v>
      </c>
      <c r="L21">
        <v>123.1</v>
      </c>
      <c r="M21">
        <v>200.5</v>
      </c>
      <c r="N21">
        <v>162.80000000000001</v>
      </c>
      <c r="O21">
        <v>193.3</v>
      </c>
      <c r="P21">
        <v>178.6</v>
      </c>
      <c r="Q21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2295.7999999999997</v>
      </c>
      <c r="W21" s="5">
        <v>2022</v>
      </c>
      <c r="X21" s="5" t="s">
        <v>39</v>
      </c>
      <c r="Y21" s="5">
        <f t="shared" ref="Y21:Y32" si="3">SUMIFS(D:D,$C:$C,$X21,$A:$A,$AI$19)</f>
        <v>155</v>
      </c>
      <c r="Z21" s="5">
        <f t="shared" ref="Z21:Z32" si="4">SUMIFS(E:E,$C:$C,$X21,$A:$A,$AI$19)</f>
        <v>219.4</v>
      </c>
      <c r="AA21" s="5">
        <f t="shared" ref="AA21:AA32" si="5">SUMIFS(F:F,$C:$C,$X21,$A:$A,$AI$19)</f>
        <v>170.8</v>
      </c>
      <c r="AB21" s="5">
        <f t="shared" ref="AB21:AB32" si="6">SUMIFS(G:G,$C:$C,$X21,$A:$A,$AI$19)</f>
        <v>165.8</v>
      </c>
      <c r="AC21" s="5">
        <f t="shared" ref="AC21:AC32" si="7">SUMIFS(H:H,$C:$C,$X21,$A:$A,$AI$19)</f>
        <v>200.9</v>
      </c>
      <c r="AD21" s="5">
        <f t="shared" ref="AD21:AD32" si="8">SUMIFS(I:I,$C:$C,$X21,$A:$A,$AI$19)</f>
        <v>169.7</v>
      </c>
      <c r="AE21" s="5">
        <f t="shared" ref="AE21:AE32" si="9">SUMIFS(J:J,$C:$C,$X21,$A:$A,$AI$19)</f>
        <v>182.3</v>
      </c>
      <c r="AF21" s="5">
        <f t="shared" ref="AF21:AF32" si="10">SUMIFS(K:K,$C:$C,$X21,$A:$A,$AI$19)</f>
        <v>164.3</v>
      </c>
      <c r="AG21" s="5">
        <f t="shared" ref="AG21:AG32" si="11">SUMIFS(L:L,$C:$C,$X21,$A:$A,$AI$19)</f>
        <v>119.9</v>
      </c>
      <c r="AH21" s="5">
        <f t="shared" ref="AH21:AH32" si="12">SUMIFS(M:M,$C:$C,$X21,$A:$A,$AI$19)</f>
        <v>187.1</v>
      </c>
      <c r="AI21" s="5">
        <f t="shared" ref="AI21:AI32" si="13">SUMIFS(N:N,$C:$C,$X21,$A:$A,$AI$19)</f>
        <v>167.9</v>
      </c>
      <c r="AJ21" s="5">
        <f t="shared" ref="AJ21:AJ32" si="14">SUMIFS(O:O,$C:$C,$X21,$A:$A,$AI$19)</f>
        <v>183.9</v>
      </c>
      <c r="AK21" s="5">
        <f t="shared" ref="AK21:AK32" si="15">SUMIFS(P:P,$C:$C,$X21,$A:$A,$AI$19)</f>
        <v>174.9</v>
      </c>
    </row>
    <row r="22" spans="1:50">
      <c r="A22" t="s">
        <v>34</v>
      </c>
      <c r="B22">
        <v>2022</v>
      </c>
      <c r="C22" t="s">
        <v>46</v>
      </c>
      <c r="D22">
        <v>169.2</v>
      </c>
      <c r="E22">
        <v>209</v>
      </c>
      <c r="F22">
        <v>190.2</v>
      </c>
      <c r="G22">
        <v>173.6</v>
      </c>
      <c r="H22">
        <v>188.5</v>
      </c>
      <c r="I22">
        <v>158</v>
      </c>
      <c r="J22">
        <v>159.9</v>
      </c>
      <c r="K22">
        <v>170.8</v>
      </c>
      <c r="L22">
        <v>121.8</v>
      </c>
      <c r="M22">
        <v>205.2</v>
      </c>
      <c r="N22">
        <v>171</v>
      </c>
      <c r="O22">
        <v>190.3</v>
      </c>
      <c r="P22">
        <v>175.9</v>
      </c>
      <c r="Q22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2283.4</v>
      </c>
      <c r="T22" s="43"/>
      <c r="U22" s="43"/>
      <c r="W22" s="5">
        <v>2022</v>
      </c>
      <c r="X22" s="5" t="s">
        <v>40</v>
      </c>
      <c r="Y22" s="5">
        <f t="shared" si="3"/>
        <v>156.5</v>
      </c>
      <c r="Z22" s="5">
        <f t="shared" si="4"/>
        <v>213</v>
      </c>
      <c r="AA22" s="5">
        <f t="shared" si="5"/>
        <v>175.2</v>
      </c>
      <c r="AB22" s="5">
        <f t="shared" si="6"/>
        <v>166.6</v>
      </c>
      <c r="AC22" s="5">
        <f t="shared" si="7"/>
        <v>195.8</v>
      </c>
      <c r="AD22" s="5">
        <f t="shared" si="8"/>
        <v>174.2</v>
      </c>
      <c r="AE22" s="5">
        <f t="shared" si="9"/>
        <v>182.1</v>
      </c>
      <c r="AF22" s="5">
        <f t="shared" si="10"/>
        <v>164.3</v>
      </c>
      <c r="AG22" s="5">
        <f t="shared" si="11"/>
        <v>120</v>
      </c>
      <c r="AH22" s="5">
        <f t="shared" si="12"/>
        <v>190</v>
      </c>
      <c r="AI22" s="5">
        <f t="shared" si="13"/>
        <v>168.4</v>
      </c>
      <c r="AJ22" s="5">
        <f t="shared" si="14"/>
        <v>185.2</v>
      </c>
      <c r="AK22" s="5">
        <f t="shared" si="15"/>
        <v>175</v>
      </c>
      <c r="AL22" s="38">
        <f t="shared" ref="AL22:AX22" si="16">(Y22-Y21)/Y21*100</f>
        <v>0.967741935483871</v>
      </c>
      <c r="AM22" s="38">
        <f t="shared" si="16"/>
        <v>-2.9170464904284437</v>
      </c>
      <c r="AN22" s="38">
        <f t="shared" si="16"/>
        <v>2.5761124121779724</v>
      </c>
      <c r="AO22" s="38">
        <f t="shared" si="16"/>
        <v>0.48250904704462172</v>
      </c>
      <c r="AP22" s="38">
        <f t="shared" si="16"/>
        <v>-2.538576406172222</v>
      </c>
      <c r="AQ22" s="38">
        <f t="shared" si="16"/>
        <v>2.6517383618149681</v>
      </c>
      <c r="AR22" s="38">
        <f t="shared" si="16"/>
        <v>-0.10970927043336097</v>
      </c>
      <c r="AS22" s="38">
        <f t="shared" si="16"/>
        <v>0</v>
      </c>
      <c r="AT22" s="38">
        <f t="shared" si="16"/>
        <v>8.3402835696408939E-2</v>
      </c>
      <c r="AU22" s="38">
        <f t="shared" si="16"/>
        <v>1.5499732763228251</v>
      </c>
      <c r="AV22" s="38">
        <f t="shared" si="16"/>
        <v>0.29779630732578916</v>
      </c>
      <c r="AW22" s="38">
        <f t="shared" si="16"/>
        <v>0.70690592713430289</v>
      </c>
      <c r="AX22" s="38">
        <f t="shared" si="16"/>
        <v>5.7175528873638831E-2</v>
      </c>
    </row>
    <row r="23" spans="1:50">
      <c r="A23" t="s">
        <v>30</v>
      </c>
      <c r="B23">
        <v>2023</v>
      </c>
      <c r="C23" t="s">
        <v>31</v>
      </c>
      <c r="D23">
        <v>174</v>
      </c>
      <c r="E23">
        <v>208.3</v>
      </c>
      <c r="F23">
        <v>192.9</v>
      </c>
      <c r="G23">
        <v>174.3</v>
      </c>
      <c r="H23">
        <v>192.6</v>
      </c>
      <c r="I23">
        <v>156.30000000000001</v>
      </c>
      <c r="J23">
        <v>142.9</v>
      </c>
      <c r="K23">
        <v>170.7</v>
      </c>
      <c r="L23">
        <v>120.3</v>
      </c>
      <c r="M23">
        <v>210.5</v>
      </c>
      <c r="N23">
        <v>176.9</v>
      </c>
      <c r="O23">
        <v>188.5</v>
      </c>
      <c r="P23">
        <v>175</v>
      </c>
      <c r="Q23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2283.2000000000003</v>
      </c>
      <c r="T23" s="43"/>
      <c r="U23" s="43"/>
      <c r="W23" s="5">
        <v>2022</v>
      </c>
      <c r="X23" s="5" t="s">
        <v>41</v>
      </c>
      <c r="Y23" s="5">
        <f t="shared" si="3"/>
        <v>160.30000000000001</v>
      </c>
      <c r="Z23" s="5">
        <f t="shared" si="4"/>
        <v>206.5</v>
      </c>
      <c r="AA23" s="5">
        <f t="shared" si="5"/>
        <v>169.2</v>
      </c>
      <c r="AB23" s="5">
        <f t="shared" si="6"/>
        <v>168.1</v>
      </c>
      <c r="AC23" s="5">
        <f t="shared" si="7"/>
        <v>192.4</v>
      </c>
      <c r="AD23" s="5">
        <f t="shared" si="8"/>
        <v>172.9</v>
      </c>
      <c r="AE23" s="5">
        <f t="shared" si="9"/>
        <v>186.7</v>
      </c>
      <c r="AF23" s="5">
        <f t="shared" si="10"/>
        <v>167.2</v>
      </c>
      <c r="AG23" s="5">
        <f t="shared" si="11"/>
        <v>120.9</v>
      </c>
      <c r="AH23" s="5">
        <f t="shared" si="12"/>
        <v>193.6</v>
      </c>
      <c r="AI23" s="5">
        <f t="shared" si="13"/>
        <v>168.8</v>
      </c>
      <c r="AJ23" s="5">
        <f t="shared" si="14"/>
        <v>186.3</v>
      </c>
      <c r="AK23" s="5">
        <f t="shared" si="15"/>
        <v>176.3</v>
      </c>
      <c r="AL23" s="38">
        <f t="shared" ref="AL23:AL32" si="17">(Y23-Y22)/Y22*100</f>
        <v>2.4281150159744485</v>
      </c>
      <c r="AM23" s="38">
        <f t="shared" ref="AM23:AX32" si="18">(Z23-Z22)/Z22*100</f>
        <v>-3.051643192488263</v>
      </c>
      <c r="AN23" s="38">
        <f t="shared" si="18"/>
        <v>-3.4246575342465757</v>
      </c>
      <c r="AO23" s="38">
        <f t="shared" si="18"/>
        <v>0.90036014405762299</v>
      </c>
      <c r="AP23" s="38">
        <f t="shared" si="18"/>
        <v>-1.7364657814096043</v>
      </c>
      <c r="AQ23" s="38">
        <f t="shared" si="18"/>
        <v>-0.74626865671640819</v>
      </c>
      <c r="AR23" s="38">
        <f t="shared" si="18"/>
        <v>2.5260845689181735</v>
      </c>
      <c r="AS23" s="38">
        <f t="shared" si="18"/>
        <v>1.7650639074862917</v>
      </c>
      <c r="AT23" s="38">
        <f t="shared" si="18"/>
        <v>0.75000000000000477</v>
      </c>
      <c r="AU23" s="38">
        <f t="shared" si="18"/>
        <v>1.8947368421052602</v>
      </c>
      <c r="AV23" s="38">
        <f t="shared" si="18"/>
        <v>0.23752969121140477</v>
      </c>
      <c r="AW23" s="38">
        <f t="shared" si="18"/>
        <v>0.59395248380130827</v>
      </c>
      <c r="AX23" s="38">
        <f t="shared" si="18"/>
        <v>0.74285714285714932</v>
      </c>
    </row>
    <row r="24" spans="1:50">
      <c r="A24" t="s">
        <v>33</v>
      </c>
      <c r="B24">
        <v>2023</v>
      </c>
      <c r="C24" t="s">
        <v>31</v>
      </c>
      <c r="D24">
        <v>173.3</v>
      </c>
      <c r="E24">
        <v>215.2</v>
      </c>
      <c r="F24">
        <v>197</v>
      </c>
      <c r="G24">
        <v>175.2</v>
      </c>
      <c r="H24">
        <v>178</v>
      </c>
      <c r="I24">
        <v>160.5</v>
      </c>
      <c r="J24">
        <v>175.3</v>
      </c>
      <c r="K24">
        <v>171.2</v>
      </c>
      <c r="L24">
        <v>122.7</v>
      </c>
      <c r="M24">
        <v>204.3</v>
      </c>
      <c r="N24">
        <v>163.69999999999999</v>
      </c>
      <c r="O24">
        <v>194.3</v>
      </c>
      <c r="P24">
        <v>179.5</v>
      </c>
      <c r="Q24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2310.2000000000003</v>
      </c>
      <c r="T24" s="43"/>
      <c r="U24" s="43"/>
      <c r="W24" s="5">
        <v>2022</v>
      </c>
      <c r="X24" s="5" t="s">
        <v>42</v>
      </c>
      <c r="Y24" s="5">
        <f t="shared" si="3"/>
        <v>163.5</v>
      </c>
      <c r="Z24" s="5">
        <f t="shared" si="4"/>
        <v>209.2</v>
      </c>
      <c r="AA24" s="5">
        <f t="shared" si="5"/>
        <v>169.7</v>
      </c>
      <c r="AB24" s="5">
        <f t="shared" si="6"/>
        <v>169.7</v>
      </c>
      <c r="AC24" s="5">
        <f t="shared" si="7"/>
        <v>188.7</v>
      </c>
      <c r="AD24" s="5">
        <f t="shared" si="8"/>
        <v>165.7</v>
      </c>
      <c r="AE24" s="5">
        <f t="shared" si="9"/>
        <v>191.8</v>
      </c>
      <c r="AF24" s="5">
        <f t="shared" si="10"/>
        <v>169.1</v>
      </c>
      <c r="AG24" s="5">
        <f t="shared" si="11"/>
        <v>121.6</v>
      </c>
      <c r="AH24" s="5">
        <f t="shared" si="12"/>
        <v>197.3</v>
      </c>
      <c r="AI24" s="5">
        <f t="shared" si="13"/>
        <v>169.4</v>
      </c>
      <c r="AJ24" s="5">
        <f t="shared" si="14"/>
        <v>187.4</v>
      </c>
      <c r="AK24" s="5">
        <f t="shared" si="15"/>
        <v>177.8</v>
      </c>
      <c r="AL24" s="38">
        <f t="shared" si="17"/>
        <v>1.9962570180910719</v>
      </c>
      <c r="AM24" s="38">
        <f t="shared" si="18"/>
        <v>1.3075060532687597</v>
      </c>
      <c r="AN24" s="38">
        <f t="shared" si="18"/>
        <v>0.29550827423167852</v>
      </c>
      <c r="AO24" s="38">
        <f t="shared" si="18"/>
        <v>0.951814396192739</v>
      </c>
      <c r="AP24" s="38">
        <f t="shared" si="18"/>
        <v>-1.9230769230769318</v>
      </c>
      <c r="AQ24" s="38">
        <f t="shared" si="18"/>
        <v>-4.1642567958357528</v>
      </c>
      <c r="AR24" s="38">
        <f t="shared" si="18"/>
        <v>2.7316550615961557</v>
      </c>
      <c r="AS24" s="38">
        <f t="shared" si="18"/>
        <v>1.1363636363636398</v>
      </c>
      <c r="AT24" s="38">
        <f t="shared" si="18"/>
        <v>0.57899090157153732</v>
      </c>
      <c r="AU24" s="38">
        <f t="shared" si="18"/>
        <v>1.9111570247933973</v>
      </c>
      <c r="AV24" s="38">
        <f t="shared" si="18"/>
        <v>0.35545023696682126</v>
      </c>
      <c r="AW24" s="38">
        <f t="shared" si="18"/>
        <v>0.59044551798174671</v>
      </c>
      <c r="AX24" s="38">
        <f t="shared" si="18"/>
        <v>0.85082246171298925</v>
      </c>
    </row>
    <row r="25" spans="1:50">
      <c r="A25" t="s">
        <v>34</v>
      </c>
      <c r="B25">
        <v>2023</v>
      </c>
      <c r="C25" t="s">
        <v>31</v>
      </c>
      <c r="D25">
        <v>173.8</v>
      </c>
      <c r="E25">
        <v>210.7</v>
      </c>
      <c r="F25">
        <v>194.5</v>
      </c>
      <c r="G25">
        <v>174.6</v>
      </c>
      <c r="H25">
        <v>187.2</v>
      </c>
      <c r="I25">
        <v>158.30000000000001</v>
      </c>
      <c r="J25">
        <v>153.9</v>
      </c>
      <c r="K25">
        <v>170.9</v>
      </c>
      <c r="L25">
        <v>121.1</v>
      </c>
      <c r="M25">
        <v>208.4</v>
      </c>
      <c r="N25">
        <v>171.4</v>
      </c>
      <c r="O25">
        <v>191.2</v>
      </c>
      <c r="P25">
        <v>176.7</v>
      </c>
      <c r="Q25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2292.6999999999998</v>
      </c>
      <c r="T25" s="43"/>
      <c r="U25" s="43"/>
      <c r="W25" s="5">
        <v>2022</v>
      </c>
      <c r="X25" s="5" t="s">
        <v>43</v>
      </c>
      <c r="Y25" s="5">
        <f t="shared" si="3"/>
        <v>165.2</v>
      </c>
      <c r="Z25" s="5">
        <f t="shared" si="4"/>
        <v>210.9</v>
      </c>
      <c r="AA25" s="5">
        <f t="shared" si="5"/>
        <v>170.9</v>
      </c>
      <c r="AB25" s="5">
        <f t="shared" si="6"/>
        <v>170.9</v>
      </c>
      <c r="AC25" s="5">
        <f t="shared" si="7"/>
        <v>186.5</v>
      </c>
      <c r="AD25" s="5">
        <f t="shared" si="8"/>
        <v>163.80000000000001</v>
      </c>
      <c r="AE25" s="5">
        <f t="shared" si="9"/>
        <v>199.7</v>
      </c>
      <c r="AF25" s="5">
        <f t="shared" si="10"/>
        <v>169.8</v>
      </c>
      <c r="AG25" s="5">
        <f t="shared" si="11"/>
        <v>121.9</v>
      </c>
      <c r="AH25" s="5">
        <f t="shared" si="12"/>
        <v>199.9</v>
      </c>
      <c r="AI25" s="5">
        <f t="shared" si="13"/>
        <v>169.9</v>
      </c>
      <c r="AJ25" s="5">
        <f t="shared" si="14"/>
        <v>188.3</v>
      </c>
      <c r="AK25" s="5">
        <f t="shared" si="15"/>
        <v>179.6</v>
      </c>
      <c r="AL25" s="38">
        <f t="shared" si="17"/>
        <v>1.0397553516819502</v>
      </c>
      <c r="AM25" s="38">
        <f t="shared" si="18"/>
        <v>0.81261950286807705</v>
      </c>
      <c r="AN25" s="38">
        <f t="shared" si="18"/>
        <v>0.70713022981733475</v>
      </c>
      <c r="AO25" s="38">
        <f t="shared" si="18"/>
        <v>0.70713022981733475</v>
      </c>
      <c r="AP25" s="38">
        <f t="shared" si="18"/>
        <v>-1.1658717541070422</v>
      </c>
      <c r="AQ25" s="38">
        <f t="shared" si="18"/>
        <v>-1.146650573325273</v>
      </c>
      <c r="AR25" s="38">
        <f t="shared" si="18"/>
        <v>4.1188738269030116</v>
      </c>
      <c r="AS25" s="38">
        <f t="shared" si="18"/>
        <v>0.41395623891189659</v>
      </c>
      <c r="AT25" s="38">
        <f t="shared" si="18"/>
        <v>0.24671052631579882</v>
      </c>
      <c r="AU25" s="38">
        <f t="shared" si="18"/>
        <v>1.3177901672579797</v>
      </c>
      <c r="AV25" s="38">
        <f t="shared" si="18"/>
        <v>0.29515938606847697</v>
      </c>
      <c r="AW25" s="38">
        <f t="shared" si="18"/>
        <v>0.48025613660619304</v>
      </c>
      <c r="AX25" s="38">
        <f t="shared" si="18"/>
        <v>1.0123734533183255</v>
      </c>
    </row>
    <row r="26" spans="1:50">
      <c r="A26" t="s">
        <v>30</v>
      </c>
      <c r="B26">
        <v>2023</v>
      </c>
      <c r="C26" t="s">
        <v>35</v>
      </c>
      <c r="D26">
        <v>174.2</v>
      </c>
      <c r="E26">
        <v>205.2</v>
      </c>
      <c r="F26">
        <v>173.9</v>
      </c>
      <c r="G26">
        <v>177</v>
      </c>
      <c r="H26">
        <v>183.4</v>
      </c>
      <c r="I26">
        <v>167.2</v>
      </c>
      <c r="J26">
        <v>140.9</v>
      </c>
      <c r="K26">
        <v>170.4</v>
      </c>
      <c r="L26">
        <v>119.1</v>
      </c>
      <c r="M26">
        <v>212.1</v>
      </c>
      <c r="N26">
        <v>177.6</v>
      </c>
      <c r="O26">
        <v>189.9</v>
      </c>
      <c r="P26">
        <v>174.8</v>
      </c>
      <c r="Q26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2265.6999999999998</v>
      </c>
      <c r="T26" s="43"/>
      <c r="U26" s="43"/>
      <c r="W26" s="5">
        <v>2022</v>
      </c>
      <c r="X26" s="5" t="s">
        <v>45</v>
      </c>
      <c r="Y26" s="5">
        <f t="shared" si="3"/>
        <v>167.4</v>
      </c>
      <c r="Z26" s="5">
        <f t="shared" si="4"/>
        <v>209.4</v>
      </c>
      <c r="AA26" s="5">
        <f t="shared" si="5"/>
        <v>181.4</v>
      </c>
      <c r="AB26" s="5">
        <f t="shared" si="6"/>
        <v>172.3</v>
      </c>
      <c r="AC26" s="5">
        <f t="shared" si="7"/>
        <v>188.9</v>
      </c>
      <c r="AD26" s="5">
        <f t="shared" si="8"/>
        <v>160.69999999999999</v>
      </c>
      <c r="AE26" s="5">
        <f t="shared" si="9"/>
        <v>183.1</v>
      </c>
      <c r="AF26" s="5">
        <f t="shared" si="10"/>
        <v>170.5</v>
      </c>
      <c r="AG26" s="5">
        <f t="shared" si="11"/>
        <v>122.1</v>
      </c>
      <c r="AH26" s="5">
        <f t="shared" si="12"/>
        <v>202.8</v>
      </c>
      <c r="AI26" s="5">
        <f t="shared" si="13"/>
        <v>170.4</v>
      </c>
      <c r="AJ26" s="5">
        <f t="shared" si="14"/>
        <v>189.5</v>
      </c>
      <c r="AK26" s="5">
        <f t="shared" si="15"/>
        <v>178.3</v>
      </c>
      <c r="AL26" s="38">
        <f t="shared" si="17"/>
        <v>1.3317191283293082</v>
      </c>
      <c r="AM26" s="38">
        <f t="shared" si="18"/>
        <v>-0.71123755334281646</v>
      </c>
      <c r="AN26" s="38">
        <f t="shared" si="18"/>
        <v>6.1439438267992976</v>
      </c>
      <c r="AO26" s="38">
        <f t="shared" si="18"/>
        <v>0.81919251023990969</v>
      </c>
      <c r="AP26" s="38">
        <f t="shared" si="18"/>
        <v>1.286863270777483</v>
      </c>
      <c r="AQ26" s="38">
        <f t="shared" si="18"/>
        <v>-1.8925518925519063</v>
      </c>
      <c r="AR26" s="38">
        <f t="shared" si="18"/>
        <v>-8.312468703054579</v>
      </c>
      <c r="AS26" s="38">
        <f t="shared" si="18"/>
        <v>0.41224970553591794</v>
      </c>
      <c r="AT26" s="38">
        <f t="shared" si="18"/>
        <v>0.16406890894174619</v>
      </c>
      <c r="AU26" s="38">
        <f t="shared" si="18"/>
        <v>1.4507253626813434</v>
      </c>
      <c r="AV26" s="38">
        <f t="shared" si="18"/>
        <v>0.29429075927015891</v>
      </c>
      <c r="AW26" s="38">
        <f t="shared" si="18"/>
        <v>0.63728093467869806</v>
      </c>
      <c r="AX26" s="38">
        <f t="shared" si="18"/>
        <v>-0.7238307349665829</v>
      </c>
    </row>
    <row r="27" spans="1:50">
      <c r="A27" t="s">
        <v>33</v>
      </c>
      <c r="B27">
        <v>2023</v>
      </c>
      <c r="C27" t="s">
        <v>35</v>
      </c>
      <c r="D27">
        <v>174.7</v>
      </c>
      <c r="E27">
        <v>212.2</v>
      </c>
      <c r="F27">
        <v>177.2</v>
      </c>
      <c r="G27">
        <v>177.9</v>
      </c>
      <c r="H27">
        <v>172.2</v>
      </c>
      <c r="I27">
        <v>172.1</v>
      </c>
      <c r="J27">
        <v>175.8</v>
      </c>
      <c r="K27">
        <v>172.2</v>
      </c>
      <c r="L27">
        <v>121.9</v>
      </c>
      <c r="M27">
        <v>204.8</v>
      </c>
      <c r="N27">
        <v>164.9</v>
      </c>
      <c r="O27">
        <v>196.6</v>
      </c>
      <c r="P27">
        <v>180.7</v>
      </c>
      <c r="Q27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2303.1999999999998</v>
      </c>
      <c r="T27" s="43"/>
      <c r="U27" s="43"/>
      <c r="W27" s="5">
        <v>2022</v>
      </c>
      <c r="X27" s="5" t="s">
        <v>46</v>
      </c>
      <c r="Y27" s="5">
        <f t="shared" si="3"/>
        <v>169.2</v>
      </c>
      <c r="Z27" s="5">
        <f t="shared" si="4"/>
        <v>209</v>
      </c>
      <c r="AA27" s="5">
        <f t="shared" si="5"/>
        <v>190.2</v>
      </c>
      <c r="AB27" s="5">
        <f t="shared" si="6"/>
        <v>173.6</v>
      </c>
      <c r="AC27" s="5">
        <f t="shared" si="7"/>
        <v>188.5</v>
      </c>
      <c r="AD27" s="5">
        <f t="shared" si="8"/>
        <v>158</v>
      </c>
      <c r="AE27" s="5">
        <f t="shared" si="9"/>
        <v>159.9</v>
      </c>
      <c r="AF27" s="5">
        <f t="shared" si="10"/>
        <v>170.8</v>
      </c>
      <c r="AG27" s="5">
        <f t="shared" si="11"/>
        <v>121.8</v>
      </c>
      <c r="AH27" s="5">
        <f t="shared" si="12"/>
        <v>205.2</v>
      </c>
      <c r="AI27" s="5">
        <f t="shared" si="13"/>
        <v>171</v>
      </c>
      <c r="AJ27" s="5">
        <f t="shared" si="14"/>
        <v>190.3</v>
      </c>
      <c r="AK27" s="5">
        <f t="shared" si="15"/>
        <v>175.9</v>
      </c>
      <c r="AL27" s="38">
        <f t="shared" si="17"/>
        <v>1.075268817204291</v>
      </c>
      <c r="AM27" s="38">
        <f t="shared" si="18"/>
        <v>-0.19102196752626824</v>
      </c>
      <c r="AN27" s="38">
        <f t="shared" si="18"/>
        <v>4.8511576626240256</v>
      </c>
      <c r="AO27" s="38">
        <f t="shared" si="18"/>
        <v>0.75449796865930518</v>
      </c>
      <c r="AP27" s="38">
        <f t="shared" si="18"/>
        <v>-0.21175224986765784</v>
      </c>
      <c r="AQ27" s="38">
        <f t="shared" si="18"/>
        <v>-1.6801493466085806</v>
      </c>
      <c r="AR27" s="38">
        <f t="shared" si="18"/>
        <v>-12.670671764063348</v>
      </c>
      <c r="AS27" s="38">
        <f t="shared" si="18"/>
        <v>0.1759530791788923</v>
      </c>
      <c r="AT27" s="38">
        <f t="shared" si="18"/>
        <v>-0.2457002457002434</v>
      </c>
      <c r="AU27" s="38">
        <f t="shared" si="18"/>
        <v>1.1834319526627106</v>
      </c>
      <c r="AV27" s="38">
        <f t="shared" si="18"/>
        <v>0.35211267605633467</v>
      </c>
      <c r="AW27" s="38">
        <f t="shared" si="18"/>
        <v>0.42216358839050727</v>
      </c>
      <c r="AX27" s="38">
        <f t="shared" si="18"/>
        <v>-1.3460459899046582</v>
      </c>
    </row>
    <row r="28" spans="1:50">
      <c r="A28" t="s">
        <v>34</v>
      </c>
      <c r="B28">
        <v>2023</v>
      </c>
      <c r="C28" t="s">
        <v>35</v>
      </c>
      <c r="D28">
        <v>174.4</v>
      </c>
      <c r="E28">
        <v>207.7</v>
      </c>
      <c r="F28">
        <v>175.2</v>
      </c>
      <c r="G28">
        <v>177.3</v>
      </c>
      <c r="H28">
        <v>179.3</v>
      </c>
      <c r="I28">
        <v>169.5</v>
      </c>
      <c r="J28">
        <v>152.69999999999999</v>
      </c>
      <c r="K28">
        <v>171</v>
      </c>
      <c r="L28">
        <v>120</v>
      </c>
      <c r="M28">
        <v>209.7</v>
      </c>
      <c r="N28">
        <v>172.3</v>
      </c>
      <c r="O28">
        <v>193</v>
      </c>
      <c r="P28">
        <v>177</v>
      </c>
      <c r="Q28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2279.1</v>
      </c>
      <c r="T28" s="43"/>
      <c r="U28" s="43"/>
      <c r="W28" s="5">
        <v>2023</v>
      </c>
      <c r="X28" s="5" t="s">
        <v>31</v>
      </c>
      <c r="Y28" s="5">
        <f t="shared" si="3"/>
        <v>173.8</v>
      </c>
      <c r="Z28" s="5">
        <f t="shared" si="4"/>
        <v>210.7</v>
      </c>
      <c r="AA28" s="5">
        <f t="shared" si="5"/>
        <v>194.5</v>
      </c>
      <c r="AB28" s="5">
        <f t="shared" si="6"/>
        <v>174.6</v>
      </c>
      <c r="AC28" s="5">
        <f t="shared" si="7"/>
        <v>187.2</v>
      </c>
      <c r="AD28" s="5">
        <f t="shared" si="8"/>
        <v>158.30000000000001</v>
      </c>
      <c r="AE28" s="5">
        <f t="shared" si="9"/>
        <v>153.9</v>
      </c>
      <c r="AF28" s="5">
        <f t="shared" si="10"/>
        <v>170.9</v>
      </c>
      <c r="AG28" s="5">
        <f t="shared" si="11"/>
        <v>121.1</v>
      </c>
      <c r="AH28" s="5">
        <f t="shared" si="12"/>
        <v>208.4</v>
      </c>
      <c r="AI28" s="5">
        <f t="shared" si="13"/>
        <v>171.4</v>
      </c>
      <c r="AJ28" s="5">
        <f t="shared" si="14"/>
        <v>191.2</v>
      </c>
      <c r="AK28" s="5">
        <f t="shared" si="15"/>
        <v>176.7</v>
      </c>
      <c r="AL28" s="38">
        <f t="shared" si="17"/>
        <v>2.7186761229314556</v>
      </c>
      <c r="AM28" s="38">
        <f t="shared" si="18"/>
        <v>0.81339712918659746</v>
      </c>
      <c r="AN28" s="38">
        <f t="shared" si="18"/>
        <v>2.2607781282860206</v>
      </c>
      <c r="AO28" s="38">
        <f t="shared" si="18"/>
        <v>0.57603686635944706</v>
      </c>
      <c r="AP28" s="38">
        <f t="shared" si="18"/>
        <v>-0.68965517241379914</v>
      </c>
      <c r="AQ28" s="38">
        <f t="shared" si="18"/>
        <v>0.18987341772152619</v>
      </c>
      <c r="AR28" s="38">
        <f t="shared" si="18"/>
        <v>-3.7523452157598496</v>
      </c>
      <c r="AS28" s="38">
        <f t="shared" si="18"/>
        <v>5.8548009367678171E-2</v>
      </c>
      <c r="AT28" s="38">
        <f t="shared" si="18"/>
        <v>-0.57471264367816322</v>
      </c>
      <c r="AU28" s="38">
        <f t="shared" si="18"/>
        <v>1.5594541910331468</v>
      </c>
      <c r="AV28" s="38">
        <f t="shared" si="18"/>
        <v>0.23391812865497411</v>
      </c>
      <c r="AW28" s="38">
        <f t="shared" si="18"/>
        <v>0.47293746715710833</v>
      </c>
      <c r="AX28" s="38">
        <f t="shared" si="18"/>
        <v>0.45480386583284982</v>
      </c>
    </row>
    <row r="29" spans="1:50">
      <c r="A29" t="s">
        <v>30</v>
      </c>
      <c r="B29">
        <v>2023</v>
      </c>
      <c r="C29" t="s">
        <v>36</v>
      </c>
      <c r="D29">
        <v>174.3</v>
      </c>
      <c r="E29">
        <v>205.2</v>
      </c>
      <c r="F29">
        <v>173.9</v>
      </c>
      <c r="G29">
        <v>177</v>
      </c>
      <c r="H29">
        <v>183.3</v>
      </c>
      <c r="I29">
        <v>167.2</v>
      </c>
      <c r="J29">
        <v>140.9</v>
      </c>
      <c r="K29">
        <v>170.5</v>
      </c>
      <c r="L29">
        <v>119.1</v>
      </c>
      <c r="M29">
        <v>212.1</v>
      </c>
      <c r="N29">
        <v>177.6</v>
      </c>
      <c r="O29">
        <v>189.9</v>
      </c>
      <c r="P29">
        <v>174.8</v>
      </c>
      <c r="Q29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2265.8000000000002</v>
      </c>
      <c r="T29" s="43"/>
      <c r="U29" s="43"/>
      <c r="W29" s="5">
        <v>2023</v>
      </c>
      <c r="X29" s="5" t="s">
        <v>35</v>
      </c>
      <c r="Y29" s="5">
        <f t="shared" si="3"/>
        <v>174.4</v>
      </c>
      <c r="Z29" s="5">
        <f t="shared" si="4"/>
        <v>207.7</v>
      </c>
      <c r="AA29" s="5">
        <f t="shared" si="5"/>
        <v>175.2</v>
      </c>
      <c r="AB29" s="5">
        <f t="shared" si="6"/>
        <v>177.3</v>
      </c>
      <c r="AC29" s="5">
        <f t="shared" si="7"/>
        <v>179.3</v>
      </c>
      <c r="AD29" s="5">
        <f t="shared" si="8"/>
        <v>169.5</v>
      </c>
      <c r="AE29" s="5">
        <f t="shared" si="9"/>
        <v>152.69999999999999</v>
      </c>
      <c r="AF29" s="5">
        <f t="shared" si="10"/>
        <v>171</v>
      </c>
      <c r="AG29" s="5">
        <f t="shared" si="11"/>
        <v>120</v>
      </c>
      <c r="AH29" s="5">
        <f t="shared" si="12"/>
        <v>209.7</v>
      </c>
      <c r="AI29" s="5">
        <f t="shared" si="13"/>
        <v>172.3</v>
      </c>
      <c r="AJ29" s="5">
        <f t="shared" si="14"/>
        <v>193</v>
      </c>
      <c r="AK29" s="5">
        <f t="shared" si="15"/>
        <v>177</v>
      </c>
      <c r="AL29" s="38">
        <f t="shared" si="17"/>
        <v>0.34522439585730397</v>
      </c>
      <c r="AM29" s="38">
        <f t="shared" si="18"/>
        <v>-1.423825344091125</v>
      </c>
      <c r="AN29" s="38">
        <f t="shared" si="18"/>
        <v>-9.922879177377899</v>
      </c>
      <c r="AO29" s="38">
        <f t="shared" si="18"/>
        <v>1.5463917525773294</v>
      </c>
      <c r="AP29" s="38">
        <f t="shared" si="18"/>
        <v>-4.2200854700854578</v>
      </c>
      <c r="AQ29" s="38">
        <f t="shared" si="18"/>
        <v>7.0751737207833152</v>
      </c>
      <c r="AR29" s="38">
        <f t="shared" si="18"/>
        <v>-0.77972709551658026</v>
      </c>
      <c r="AS29" s="38">
        <f t="shared" si="18"/>
        <v>5.8513750731418554E-2</v>
      </c>
      <c r="AT29" s="38">
        <f t="shared" si="18"/>
        <v>-0.90834021469859161</v>
      </c>
      <c r="AU29" s="38">
        <f t="shared" si="18"/>
        <v>0.62380038387715109</v>
      </c>
      <c r="AV29" s="38">
        <f t="shared" si="18"/>
        <v>0.52508751458576763</v>
      </c>
      <c r="AW29" s="38">
        <f t="shared" si="18"/>
        <v>0.94142259414226537</v>
      </c>
      <c r="AX29" s="38">
        <f t="shared" si="18"/>
        <v>0.16977928692700134</v>
      </c>
    </row>
    <row r="30" spans="1:50">
      <c r="A30" t="s">
        <v>33</v>
      </c>
      <c r="B30">
        <v>2023</v>
      </c>
      <c r="C30" t="s">
        <v>36</v>
      </c>
      <c r="D30">
        <v>174.7</v>
      </c>
      <c r="E30">
        <v>212.2</v>
      </c>
      <c r="F30">
        <v>177.2</v>
      </c>
      <c r="G30">
        <v>177.9</v>
      </c>
      <c r="H30">
        <v>172.2</v>
      </c>
      <c r="I30">
        <v>172.1</v>
      </c>
      <c r="J30">
        <v>175.9</v>
      </c>
      <c r="K30">
        <v>172.2</v>
      </c>
      <c r="L30">
        <v>121.9</v>
      </c>
      <c r="M30">
        <v>204.8</v>
      </c>
      <c r="N30">
        <v>164.9</v>
      </c>
      <c r="O30">
        <v>196.6</v>
      </c>
      <c r="P30">
        <v>180.8</v>
      </c>
      <c r="Q30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2303.4</v>
      </c>
      <c r="W30" s="5">
        <v>2023</v>
      </c>
      <c r="X30" s="5" t="s">
        <v>36</v>
      </c>
      <c r="Y30" s="5">
        <f t="shared" si="3"/>
        <v>174.4</v>
      </c>
      <c r="Z30" s="5">
        <f t="shared" si="4"/>
        <v>207.7</v>
      </c>
      <c r="AA30" s="5">
        <f t="shared" si="5"/>
        <v>175.2</v>
      </c>
      <c r="AB30" s="5">
        <f t="shared" si="6"/>
        <v>177.3</v>
      </c>
      <c r="AC30" s="5">
        <f t="shared" si="7"/>
        <v>179.2</v>
      </c>
      <c r="AD30" s="5">
        <f t="shared" si="8"/>
        <v>169.5</v>
      </c>
      <c r="AE30" s="5">
        <f t="shared" si="9"/>
        <v>152.80000000000001</v>
      </c>
      <c r="AF30" s="5">
        <f t="shared" si="10"/>
        <v>171.1</v>
      </c>
      <c r="AG30" s="5">
        <f t="shared" si="11"/>
        <v>120</v>
      </c>
      <c r="AH30" s="5">
        <f t="shared" si="12"/>
        <v>209.7</v>
      </c>
      <c r="AI30" s="5">
        <f t="shared" si="13"/>
        <v>172.3</v>
      </c>
      <c r="AJ30" s="5">
        <f t="shared" si="14"/>
        <v>193</v>
      </c>
      <c r="AK30" s="5">
        <f t="shared" si="15"/>
        <v>177</v>
      </c>
      <c r="AL30" s="38">
        <f t="shared" si="17"/>
        <v>0</v>
      </c>
      <c r="AM30" s="38">
        <f t="shared" si="18"/>
        <v>0</v>
      </c>
      <c r="AN30" s="38">
        <f t="shared" si="18"/>
        <v>0</v>
      </c>
      <c r="AO30" s="38">
        <f t="shared" si="18"/>
        <v>0</v>
      </c>
      <c r="AP30" s="38">
        <f t="shared" si="18"/>
        <v>-5.5772448410497895E-2</v>
      </c>
      <c r="AQ30" s="38">
        <f t="shared" si="18"/>
        <v>0</v>
      </c>
      <c r="AR30" s="38">
        <f t="shared" si="18"/>
        <v>6.5487884741337751E-2</v>
      </c>
      <c r="AS30" s="38">
        <f t="shared" si="18"/>
        <v>5.8479532163739363E-2</v>
      </c>
      <c r="AT30" s="38">
        <f t="shared" si="18"/>
        <v>0</v>
      </c>
      <c r="AU30" s="38">
        <f t="shared" si="18"/>
        <v>0</v>
      </c>
      <c r="AV30" s="38">
        <f t="shared" si="18"/>
        <v>0</v>
      </c>
      <c r="AW30" s="38">
        <f t="shared" si="18"/>
        <v>0</v>
      </c>
      <c r="AX30" s="38">
        <f t="shared" si="18"/>
        <v>0</v>
      </c>
    </row>
    <row r="31" spans="1:50">
      <c r="A31" t="s">
        <v>34</v>
      </c>
      <c r="B31">
        <v>2023</v>
      </c>
      <c r="C31" t="s">
        <v>36</v>
      </c>
      <c r="D31">
        <v>174.4</v>
      </c>
      <c r="E31">
        <v>207.7</v>
      </c>
      <c r="F31">
        <v>175.2</v>
      </c>
      <c r="G31">
        <v>177.3</v>
      </c>
      <c r="H31">
        <v>179.2</v>
      </c>
      <c r="I31">
        <v>169.5</v>
      </c>
      <c r="J31">
        <v>152.80000000000001</v>
      </c>
      <c r="K31">
        <v>171.1</v>
      </c>
      <c r="L31">
        <v>120</v>
      </c>
      <c r="M31">
        <v>209.7</v>
      </c>
      <c r="N31">
        <v>172.3</v>
      </c>
      <c r="O31">
        <v>193</v>
      </c>
      <c r="P31">
        <v>177</v>
      </c>
      <c r="Q31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2279.1999999999998</v>
      </c>
      <c r="W31" s="5">
        <v>2023</v>
      </c>
      <c r="X31" s="5" t="s">
        <v>37</v>
      </c>
      <c r="Y31" s="5">
        <f t="shared" si="3"/>
        <v>173.8</v>
      </c>
      <c r="Z31" s="5">
        <f t="shared" si="4"/>
        <v>209.3</v>
      </c>
      <c r="AA31" s="5">
        <f t="shared" si="5"/>
        <v>169.6</v>
      </c>
      <c r="AB31" s="5">
        <f t="shared" si="6"/>
        <v>178.4</v>
      </c>
      <c r="AC31" s="5">
        <f t="shared" si="7"/>
        <v>174.9</v>
      </c>
      <c r="AD31" s="5">
        <f t="shared" si="8"/>
        <v>176.3</v>
      </c>
      <c r="AE31" s="5">
        <f t="shared" si="9"/>
        <v>155.4</v>
      </c>
      <c r="AF31" s="5">
        <f t="shared" si="10"/>
        <v>173.4</v>
      </c>
      <c r="AG31" s="5">
        <f t="shared" si="11"/>
        <v>121.3</v>
      </c>
      <c r="AH31" s="5">
        <f t="shared" si="12"/>
        <v>212.9</v>
      </c>
      <c r="AI31" s="5">
        <f t="shared" si="13"/>
        <v>172.9</v>
      </c>
      <c r="AJ31" s="5">
        <f t="shared" si="14"/>
        <v>193.5</v>
      </c>
      <c r="AK31" s="5">
        <f t="shared" si="15"/>
        <v>177.9</v>
      </c>
      <c r="AL31" s="38">
        <f t="shared" si="17"/>
        <v>-0.34403669724770314</v>
      </c>
      <c r="AM31" s="38">
        <f t="shared" si="18"/>
        <v>0.77034183919115207</v>
      </c>
      <c r="AN31" s="38">
        <f t="shared" si="18"/>
        <v>-3.1963470319634673</v>
      </c>
      <c r="AO31" s="38">
        <f t="shared" si="18"/>
        <v>0.62041737168640398</v>
      </c>
      <c r="AP31" s="38">
        <f t="shared" si="18"/>
        <v>-2.3995535714285623</v>
      </c>
      <c r="AQ31" s="38">
        <f t="shared" si="18"/>
        <v>4.0117994100295054</v>
      </c>
      <c r="AR31" s="38">
        <f t="shared" si="18"/>
        <v>1.7015706806282684</v>
      </c>
      <c r="AS31" s="38">
        <f t="shared" si="18"/>
        <v>1.3442431326709592</v>
      </c>
      <c r="AT31" s="38">
        <f t="shared" si="18"/>
        <v>1.083333333333331</v>
      </c>
      <c r="AU31" s="38">
        <f t="shared" si="18"/>
        <v>1.5259895088221351</v>
      </c>
      <c r="AV31" s="38">
        <f t="shared" si="18"/>
        <v>0.34822983168891136</v>
      </c>
      <c r="AW31" s="38">
        <f t="shared" si="18"/>
        <v>0.2590673575129534</v>
      </c>
      <c r="AX31" s="38">
        <f t="shared" si="18"/>
        <v>0.50847457627118964</v>
      </c>
    </row>
    <row r="32" spans="1:50">
      <c r="A32" t="s">
        <v>30</v>
      </c>
      <c r="B32">
        <v>2023</v>
      </c>
      <c r="C32" t="s">
        <v>37</v>
      </c>
      <c r="D32">
        <v>173.3</v>
      </c>
      <c r="E32">
        <v>206.9</v>
      </c>
      <c r="F32">
        <v>167.9</v>
      </c>
      <c r="G32">
        <v>178.2</v>
      </c>
      <c r="H32">
        <v>178.5</v>
      </c>
      <c r="I32">
        <v>173.7</v>
      </c>
      <c r="J32">
        <v>142.80000000000001</v>
      </c>
      <c r="K32">
        <v>172.8</v>
      </c>
      <c r="L32">
        <v>120.4</v>
      </c>
      <c r="M32">
        <v>215.5</v>
      </c>
      <c r="N32">
        <v>178.2</v>
      </c>
      <c r="O32">
        <v>190.5</v>
      </c>
      <c r="P32">
        <v>175.5</v>
      </c>
      <c r="Q32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2274.1999999999998</v>
      </c>
      <c r="W32" s="5">
        <v>2023</v>
      </c>
      <c r="X32" s="5" t="s">
        <v>38</v>
      </c>
      <c r="Y32" s="5">
        <f t="shared" si="3"/>
        <v>173.7</v>
      </c>
      <c r="Z32" s="5">
        <f t="shared" si="4"/>
        <v>214.3</v>
      </c>
      <c r="AA32" s="5">
        <f t="shared" si="5"/>
        <v>173.2</v>
      </c>
      <c r="AB32" s="5">
        <f t="shared" si="6"/>
        <v>179.5</v>
      </c>
      <c r="AC32" s="5">
        <f t="shared" si="7"/>
        <v>170</v>
      </c>
      <c r="AD32" s="5">
        <f t="shared" si="8"/>
        <v>172.2</v>
      </c>
      <c r="AE32" s="5">
        <f t="shared" si="9"/>
        <v>161</v>
      </c>
      <c r="AF32" s="5">
        <f t="shared" si="10"/>
        <v>175.6</v>
      </c>
      <c r="AG32" s="5">
        <f t="shared" si="11"/>
        <v>122.7</v>
      </c>
      <c r="AH32" s="5">
        <f t="shared" si="12"/>
        <v>218</v>
      </c>
      <c r="AI32" s="5">
        <f t="shared" si="13"/>
        <v>173.4</v>
      </c>
      <c r="AJ32" s="5">
        <f t="shared" si="14"/>
        <v>194.2</v>
      </c>
      <c r="AK32" s="5">
        <f t="shared" si="15"/>
        <v>179.1</v>
      </c>
      <c r="AL32" s="38">
        <f t="shared" si="17"/>
        <v>-5.7537399309564287E-2</v>
      </c>
      <c r="AM32" s="38">
        <f t="shared" si="18"/>
        <v>2.3889154323936932</v>
      </c>
      <c r="AN32" s="38">
        <f t="shared" si="18"/>
        <v>2.1226415094339588</v>
      </c>
      <c r="AO32" s="38">
        <f t="shared" si="18"/>
        <v>0.61659192825111786</v>
      </c>
      <c r="AP32" s="38">
        <f t="shared" si="18"/>
        <v>-2.8016009148084651</v>
      </c>
      <c r="AQ32" s="38">
        <f t="shared" si="18"/>
        <v>-2.3255813953488502</v>
      </c>
      <c r="AR32" s="38">
        <f t="shared" si="18"/>
        <v>3.6036036036036001</v>
      </c>
      <c r="AS32" s="38">
        <f t="shared" si="18"/>
        <v>1.268742791234134</v>
      </c>
      <c r="AT32" s="38">
        <f t="shared" si="18"/>
        <v>1.1541632316570534</v>
      </c>
      <c r="AU32" s="38">
        <f t="shared" si="18"/>
        <v>2.3954908407703117</v>
      </c>
      <c r="AV32" s="38">
        <f t="shared" si="18"/>
        <v>0.2891844997108155</v>
      </c>
      <c r="AW32" s="38">
        <f t="shared" si="18"/>
        <v>0.36175710594314658</v>
      </c>
      <c r="AX32" s="38">
        <f t="shared" si="18"/>
        <v>0.6745362563237709</v>
      </c>
    </row>
    <row r="33" spans="1:37">
      <c r="A33" t="s">
        <v>33</v>
      </c>
      <c r="B33">
        <v>2023</v>
      </c>
      <c r="C33" t="s">
        <v>37</v>
      </c>
      <c r="D33">
        <v>174.8</v>
      </c>
      <c r="E33">
        <v>213.7</v>
      </c>
      <c r="F33">
        <v>172.4</v>
      </c>
      <c r="G33">
        <v>178.8</v>
      </c>
      <c r="H33">
        <v>168.7</v>
      </c>
      <c r="I33">
        <v>179.2</v>
      </c>
      <c r="J33">
        <v>179.9</v>
      </c>
      <c r="K33">
        <v>174.7</v>
      </c>
      <c r="L33">
        <v>123.1</v>
      </c>
      <c r="M33">
        <v>207.8</v>
      </c>
      <c r="N33">
        <v>165.5</v>
      </c>
      <c r="O33">
        <v>197</v>
      </c>
      <c r="P33">
        <v>182.1</v>
      </c>
      <c r="Q33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2317.7000000000003</v>
      </c>
    </row>
    <row r="34" spans="1:37">
      <c r="A34" t="s">
        <v>34</v>
      </c>
      <c r="B34">
        <v>2023</v>
      </c>
      <c r="C34" t="s">
        <v>37</v>
      </c>
      <c r="D34">
        <v>173.8</v>
      </c>
      <c r="E34">
        <v>209.3</v>
      </c>
      <c r="F34">
        <v>169.6</v>
      </c>
      <c r="G34">
        <v>178.4</v>
      </c>
      <c r="H34">
        <v>174.9</v>
      </c>
      <c r="I34">
        <v>176.3</v>
      </c>
      <c r="J34">
        <v>155.4</v>
      </c>
      <c r="K34">
        <v>173.4</v>
      </c>
      <c r="L34">
        <v>121.3</v>
      </c>
      <c r="M34">
        <v>212.9</v>
      </c>
      <c r="N34">
        <v>172.9</v>
      </c>
      <c r="O34">
        <v>193.5</v>
      </c>
      <c r="P34">
        <v>177.9</v>
      </c>
      <c r="Q34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2289.6000000000004</v>
      </c>
    </row>
    <row r="35" spans="1:37">
      <c r="A35" t="s">
        <v>30</v>
      </c>
      <c r="B35">
        <v>2023</v>
      </c>
      <c r="C35" t="s">
        <v>38</v>
      </c>
      <c r="D35">
        <v>173.2</v>
      </c>
      <c r="E35">
        <v>211.5</v>
      </c>
      <c r="F35">
        <v>171</v>
      </c>
      <c r="G35">
        <v>179.6</v>
      </c>
      <c r="H35">
        <v>173.3</v>
      </c>
      <c r="I35">
        <v>169</v>
      </c>
      <c r="J35">
        <v>148.69999999999999</v>
      </c>
      <c r="K35">
        <v>174.9</v>
      </c>
      <c r="L35">
        <v>121.9</v>
      </c>
      <c r="M35">
        <v>221</v>
      </c>
      <c r="N35">
        <v>178.7</v>
      </c>
      <c r="O35">
        <v>191.1</v>
      </c>
      <c r="P35">
        <v>176.8</v>
      </c>
      <c r="Q35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2290.7000000000007</v>
      </c>
    </row>
    <row r="36" spans="1:37">
      <c r="A36" t="s">
        <v>33</v>
      </c>
      <c r="B36">
        <v>2023</v>
      </c>
      <c r="C36" t="s">
        <v>38</v>
      </c>
      <c r="D36">
        <v>174.7</v>
      </c>
      <c r="E36">
        <v>219.4</v>
      </c>
      <c r="F36">
        <v>176.7</v>
      </c>
      <c r="G36">
        <v>179.4</v>
      </c>
      <c r="H36">
        <v>164.4</v>
      </c>
      <c r="I36">
        <v>175.8</v>
      </c>
      <c r="J36">
        <v>185</v>
      </c>
      <c r="K36">
        <v>176.9</v>
      </c>
      <c r="L36">
        <v>124.2</v>
      </c>
      <c r="M36">
        <v>211.9</v>
      </c>
      <c r="N36">
        <v>165.9</v>
      </c>
      <c r="O36">
        <v>197.7</v>
      </c>
      <c r="P36">
        <v>183.1</v>
      </c>
      <c r="Q36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2335.1</v>
      </c>
    </row>
    <row r="37" spans="1:37">
      <c r="A37" t="s">
        <v>34</v>
      </c>
      <c r="B37">
        <v>2023</v>
      </c>
      <c r="C37" t="s">
        <v>38</v>
      </c>
      <c r="D37">
        <v>173.7</v>
      </c>
      <c r="E37">
        <v>214.3</v>
      </c>
      <c r="F37">
        <v>173.2</v>
      </c>
      <c r="G37">
        <v>179.5</v>
      </c>
      <c r="H37">
        <v>170</v>
      </c>
      <c r="I37">
        <v>172.2</v>
      </c>
      <c r="J37">
        <v>161</v>
      </c>
      <c r="K37">
        <v>175.6</v>
      </c>
      <c r="L37">
        <v>122.7</v>
      </c>
      <c r="M37">
        <v>218</v>
      </c>
      <c r="N37">
        <v>173.4</v>
      </c>
      <c r="O37">
        <v>194.2</v>
      </c>
      <c r="P37">
        <v>179.1</v>
      </c>
      <c r="Q37">
        <f>Table2[[#This Row],[Cereals and products]]+Table2[[#This Row],[Meat and fish]]+Table2[[#This Row],[Egg]]+Table2[[#This Row],[Milk and products]]+Table2[[#This Row],[Oils and fats]]+Table2[[#This Row],[Fruits]]+Table2[[#This Row],[Vegetables]]+Table2[[#This Row],[Pulses and products]]+Table2[[#This Row],[Sugar and Confectionery]]+Table2[[#This Row],[Spices]]+Table2[[#This Row],[Non-alcoholic beverages]]+Table2[[#This Row],[Prepared meals, snacks, sweets etc.]]+Table2[[#This Row],[Food and beverages]]</f>
        <v>2306.9</v>
      </c>
      <c r="T37" s="41" t="s">
        <v>65</v>
      </c>
      <c r="U37" s="39" t="s">
        <v>66</v>
      </c>
      <c r="W37" s="41" t="s">
        <v>1</v>
      </c>
      <c r="X37" s="41" t="s">
        <v>2</v>
      </c>
      <c r="Y37" s="42" t="s">
        <v>3</v>
      </c>
      <c r="Z37" s="42" t="s">
        <v>4</v>
      </c>
      <c r="AA37" s="42" t="s">
        <v>5</v>
      </c>
      <c r="AB37" s="42" t="s">
        <v>6</v>
      </c>
      <c r="AC37" s="42" t="s">
        <v>7</v>
      </c>
      <c r="AD37" s="42" t="s">
        <v>8</v>
      </c>
      <c r="AE37" s="42" t="s">
        <v>9</v>
      </c>
      <c r="AF37" s="42" t="s">
        <v>10</v>
      </c>
      <c r="AG37" s="42" t="s">
        <v>11</v>
      </c>
      <c r="AH37" s="42" t="s">
        <v>12</v>
      </c>
      <c r="AI37" s="42" t="s">
        <v>13</v>
      </c>
      <c r="AJ37" s="42" t="s">
        <v>14</v>
      </c>
      <c r="AK37" s="42" t="s">
        <v>15</v>
      </c>
    </row>
    <row r="38" spans="1:37">
      <c r="T38" s="44" t="s">
        <v>3</v>
      </c>
      <c r="U38" s="45">
        <f>Y50</f>
        <v>12.304331882110967</v>
      </c>
      <c r="W38" s="5">
        <v>2022</v>
      </c>
      <c r="X38" s="5" t="s">
        <v>39</v>
      </c>
      <c r="Y38" s="11">
        <f t="shared" ref="Y38:AK38" si="19">ABS(AL21)</f>
        <v>0</v>
      </c>
      <c r="Z38" s="11">
        <f t="shared" si="19"/>
        <v>0</v>
      </c>
      <c r="AA38" s="11">
        <f t="shared" si="19"/>
        <v>0</v>
      </c>
      <c r="AB38" s="11">
        <f t="shared" si="19"/>
        <v>0</v>
      </c>
      <c r="AC38" s="11">
        <f t="shared" si="19"/>
        <v>0</v>
      </c>
      <c r="AD38" s="11">
        <f t="shared" si="19"/>
        <v>0</v>
      </c>
      <c r="AE38" s="11">
        <f t="shared" si="19"/>
        <v>0</v>
      </c>
      <c r="AF38" s="11">
        <f t="shared" si="19"/>
        <v>0</v>
      </c>
      <c r="AG38" s="11">
        <f t="shared" si="19"/>
        <v>0</v>
      </c>
      <c r="AH38" s="11">
        <f t="shared" si="19"/>
        <v>0</v>
      </c>
      <c r="AI38" s="11">
        <f t="shared" si="19"/>
        <v>0</v>
      </c>
      <c r="AJ38" s="11">
        <f t="shared" si="19"/>
        <v>0</v>
      </c>
      <c r="AK38" s="11">
        <f t="shared" si="19"/>
        <v>0</v>
      </c>
    </row>
    <row r="39" spans="1:37">
      <c r="T39" s="44" t="s">
        <v>4</v>
      </c>
      <c r="U39" s="45">
        <f>Z$50</f>
        <v>14.387554504785195</v>
      </c>
      <c r="W39" s="5">
        <v>2022</v>
      </c>
      <c r="X39" s="5" t="s">
        <v>40</v>
      </c>
      <c r="Y39" s="11">
        <f t="shared" ref="Y39:Y49" si="20">ABS(AL22)</f>
        <v>0.967741935483871</v>
      </c>
      <c r="Z39" s="11">
        <f t="shared" ref="Z39:Z49" si="21">ABS(AM22)</f>
        <v>2.9170464904284437</v>
      </c>
      <c r="AA39" s="11">
        <f t="shared" ref="AA39:AA49" si="22">ABS(AN22)</f>
        <v>2.5761124121779724</v>
      </c>
      <c r="AB39" s="11">
        <f t="shared" ref="AB39:AB49" si="23">ABS(AO22)</f>
        <v>0.48250904704462172</v>
      </c>
      <c r="AC39" s="11">
        <f t="shared" ref="AC39:AC49" si="24">ABS(AP22)</f>
        <v>2.538576406172222</v>
      </c>
      <c r="AD39" s="11">
        <f t="shared" ref="AD39:AD49" si="25">ABS(AQ22)</f>
        <v>2.6517383618149681</v>
      </c>
      <c r="AE39" s="11">
        <f t="shared" ref="AE39:AE49" si="26">ABS(AR22)</f>
        <v>0.10970927043336097</v>
      </c>
      <c r="AF39" s="11">
        <f t="shared" ref="AF39:AF49" si="27">ABS(AS22)</f>
        <v>0</v>
      </c>
      <c r="AG39" s="11">
        <f t="shared" ref="AG39:AG49" si="28">ABS(AT22)</f>
        <v>8.3402835696408939E-2</v>
      </c>
      <c r="AH39" s="11">
        <f t="shared" ref="AH39:AH49" si="29">ABS(AU22)</f>
        <v>1.5499732763228251</v>
      </c>
      <c r="AI39" s="11">
        <f t="shared" ref="AI39:AI49" si="30">ABS(AV22)</f>
        <v>0.29779630732578916</v>
      </c>
      <c r="AJ39" s="11">
        <f t="shared" ref="AJ39:AJ49" si="31">ABS(AW22)</f>
        <v>0.70690592713430289</v>
      </c>
      <c r="AK39" s="11">
        <f t="shared" ref="AK39:AK49" si="32">ABS(AX22)</f>
        <v>5.7175528873638831E-2</v>
      </c>
    </row>
    <row r="40" spans="1:37">
      <c r="T40" s="44" t="s">
        <v>5</v>
      </c>
      <c r="U40" s="45">
        <f>AA50</f>
        <v>35.501155786958236</v>
      </c>
      <c r="W40" s="5">
        <v>2022</v>
      </c>
      <c r="X40" s="5" t="s">
        <v>41</v>
      </c>
      <c r="Y40" s="11">
        <f t="shared" si="20"/>
        <v>2.4281150159744485</v>
      </c>
      <c r="Z40" s="11">
        <f t="shared" si="21"/>
        <v>3.051643192488263</v>
      </c>
      <c r="AA40" s="11">
        <f t="shared" si="22"/>
        <v>3.4246575342465757</v>
      </c>
      <c r="AB40" s="11">
        <f t="shared" si="23"/>
        <v>0.90036014405762299</v>
      </c>
      <c r="AC40" s="11">
        <f t="shared" si="24"/>
        <v>1.7364657814096043</v>
      </c>
      <c r="AD40" s="11">
        <f t="shared" si="25"/>
        <v>0.74626865671640819</v>
      </c>
      <c r="AE40" s="11">
        <f t="shared" si="26"/>
        <v>2.5260845689181735</v>
      </c>
      <c r="AF40" s="11">
        <f t="shared" si="27"/>
        <v>1.7650639074862917</v>
      </c>
      <c r="AG40" s="11">
        <f t="shared" si="28"/>
        <v>0.75000000000000477</v>
      </c>
      <c r="AH40" s="11">
        <f t="shared" si="29"/>
        <v>1.8947368421052602</v>
      </c>
      <c r="AI40" s="11">
        <f t="shared" si="30"/>
        <v>0.23752969121140477</v>
      </c>
      <c r="AJ40" s="11">
        <f t="shared" si="31"/>
        <v>0.59395248380130827</v>
      </c>
      <c r="AK40" s="11">
        <f t="shared" si="32"/>
        <v>0.74285714285714932</v>
      </c>
    </row>
    <row r="41" spans="1:37">
      <c r="T41" s="44" t="s">
        <v>6</v>
      </c>
      <c r="U41" s="45">
        <f>AB50</f>
        <v>7.9749422148858304</v>
      </c>
      <c r="W41" s="5">
        <v>2022</v>
      </c>
      <c r="X41" s="5" t="s">
        <v>42</v>
      </c>
      <c r="Y41" s="11">
        <f t="shared" si="20"/>
        <v>1.9962570180910719</v>
      </c>
      <c r="Z41" s="11">
        <f t="shared" si="21"/>
        <v>1.3075060532687597</v>
      </c>
      <c r="AA41" s="11">
        <f t="shared" si="22"/>
        <v>0.29550827423167852</v>
      </c>
      <c r="AB41" s="11">
        <f t="shared" si="23"/>
        <v>0.951814396192739</v>
      </c>
      <c r="AC41" s="11">
        <f t="shared" si="24"/>
        <v>1.9230769230769318</v>
      </c>
      <c r="AD41" s="11">
        <f t="shared" si="25"/>
        <v>4.1642567958357528</v>
      </c>
      <c r="AE41" s="11">
        <f t="shared" si="26"/>
        <v>2.7316550615961557</v>
      </c>
      <c r="AF41" s="11">
        <f t="shared" si="27"/>
        <v>1.1363636363636398</v>
      </c>
      <c r="AG41" s="11">
        <f t="shared" si="28"/>
        <v>0.57899090157153732</v>
      </c>
      <c r="AH41" s="11">
        <f t="shared" si="29"/>
        <v>1.9111570247933973</v>
      </c>
      <c r="AI41" s="11">
        <f t="shared" si="30"/>
        <v>0.35545023696682126</v>
      </c>
      <c r="AJ41" s="11">
        <f t="shared" si="31"/>
        <v>0.59044551798174671</v>
      </c>
      <c r="AK41" s="11">
        <f t="shared" si="32"/>
        <v>0.85082246171298925</v>
      </c>
    </row>
    <row r="42" spans="1:37">
      <c r="T42" s="44" t="s">
        <v>7</v>
      </c>
      <c r="U42" s="45">
        <f>AC50</f>
        <v>19.029273962557721</v>
      </c>
      <c r="W42" s="5">
        <v>2022</v>
      </c>
      <c r="X42" s="5" t="s">
        <v>43</v>
      </c>
      <c r="Y42" s="11">
        <f t="shared" si="20"/>
        <v>1.0397553516819502</v>
      </c>
      <c r="Z42" s="11">
        <f t="shared" si="21"/>
        <v>0.81261950286807705</v>
      </c>
      <c r="AA42" s="11">
        <f t="shared" si="22"/>
        <v>0.70713022981733475</v>
      </c>
      <c r="AB42" s="11">
        <f t="shared" si="23"/>
        <v>0.70713022981733475</v>
      </c>
      <c r="AC42" s="11">
        <f t="shared" si="24"/>
        <v>1.1658717541070422</v>
      </c>
      <c r="AD42" s="11">
        <f t="shared" si="25"/>
        <v>1.146650573325273</v>
      </c>
      <c r="AE42" s="11">
        <f t="shared" si="26"/>
        <v>4.1188738269030116</v>
      </c>
      <c r="AF42" s="11">
        <f t="shared" si="27"/>
        <v>0.41395623891189659</v>
      </c>
      <c r="AG42" s="11">
        <f t="shared" si="28"/>
        <v>0.24671052631579882</v>
      </c>
      <c r="AH42" s="11">
        <f t="shared" si="29"/>
        <v>1.3177901672579797</v>
      </c>
      <c r="AI42" s="11">
        <f t="shared" si="30"/>
        <v>0.29515938606847697</v>
      </c>
      <c r="AJ42" s="11">
        <f t="shared" si="31"/>
        <v>0.48025613660619304</v>
      </c>
      <c r="AK42" s="11">
        <f t="shared" si="32"/>
        <v>1.0123734533183255</v>
      </c>
    </row>
    <row r="43" spans="1:37">
      <c r="T43" s="44" t="s">
        <v>8</v>
      </c>
      <c r="U43" s="45">
        <f>AD50</f>
        <v>25.884043570736083</v>
      </c>
      <c r="W43" s="5">
        <v>2022</v>
      </c>
      <c r="X43" s="5" t="s">
        <v>45</v>
      </c>
      <c r="Y43" s="11">
        <f t="shared" si="20"/>
        <v>1.3317191283293082</v>
      </c>
      <c r="Z43" s="11">
        <f t="shared" si="21"/>
        <v>0.71123755334281646</v>
      </c>
      <c r="AA43" s="11">
        <f t="shared" si="22"/>
        <v>6.1439438267992976</v>
      </c>
      <c r="AB43" s="11">
        <f t="shared" si="23"/>
        <v>0.81919251023990969</v>
      </c>
      <c r="AC43" s="11">
        <f t="shared" si="24"/>
        <v>1.286863270777483</v>
      </c>
      <c r="AD43" s="11">
        <f t="shared" si="25"/>
        <v>1.8925518925519063</v>
      </c>
      <c r="AE43" s="11">
        <f t="shared" si="26"/>
        <v>8.312468703054579</v>
      </c>
      <c r="AF43" s="11">
        <f t="shared" si="27"/>
        <v>0.41224970553591794</v>
      </c>
      <c r="AG43" s="11">
        <f t="shared" si="28"/>
        <v>0.16406890894174619</v>
      </c>
      <c r="AH43" s="11">
        <f t="shared" si="29"/>
        <v>1.4507253626813434</v>
      </c>
      <c r="AI43" s="11">
        <f t="shared" si="30"/>
        <v>0.29429075927015891</v>
      </c>
      <c r="AJ43" s="11">
        <f t="shared" si="31"/>
        <v>0.63728093467869806</v>
      </c>
      <c r="AK43" s="11">
        <f t="shared" si="32"/>
        <v>0.7238307349665829</v>
      </c>
    </row>
    <row r="44" spans="1:37">
      <c r="T44" s="44" t="s">
        <v>9</v>
      </c>
      <c r="U44" s="45">
        <f>AE50</f>
        <v>40.372197675218267</v>
      </c>
      <c r="W44" s="5">
        <v>2022</v>
      </c>
      <c r="X44" s="5" t="s">
        <v>46</v>
      </c>
      <c r="Y44" s="11">
        <f t="shared" si="20"/>
        <v>1.075268817204291</v>
      </c>
      <c r="Z44" s="11">
        <f t="shared" si="21"/>
        <v>0.19102196752626824</v>
      </c>
      <c r="AA44" s="11">
        <f t="shared" si="22"/>
        <v>4.8511576626240256</v>
      </c>
      <c r="AB44" s="11">
        <f t="shared" si="23"/>
        <v>0.75449796865930518</v>
      </c>
      <c r="AC44" s="11">
        <f t="shared" si="24"/>
        <v>0.21175224986765784</v>
      </c>
      <c r="AD44" s="11">
        <f t="shared" si="25"/>
        <v>1.6801493466085806</v>
      </c>
      <c r="AE44" s="11">
        <f t="shared" si="26"/>
        <v>12.670671764063348</v>
      </c>
      <c r="AF44" s="11">
        <f t="shared" si="27"/>
        <v>0.1759530791788923</v>
      </c>
      <c r="AG44" s="11">
        <f t="shared" si="28"/>
        <v>0.2457002457002434</v>
      </c>
      <c r="AH44" s="11">
        <f t="shared" si="29"/>
        <v>1.1834319526627106</v>
      </c>
      <c r="AI44" s="11">
        <f t="shared" si="30"/>
        <v>0.35211267605633467</v>
      </c>
      <c r="AJ44" s="11">
        <f t="shared" si="31"/>
        <v>0.42216358839050727</v>
      </c>
      <c r="AK44" s="11">
        <f t="shared" si="32"/>
        <v>1.3460459899046582</v>
      </c>
    </row>
    <row r="45" spans="1:37">
      <c r="T45" s="44" t="s">
        <v>10</v>
      </c>
      <c r="U45" s="45">
        <f>AF50</f>
        <v>6.692113783644567</v>
      </c>
      <c r="W45" s="5">
        <v>2023</v>
      </c>
      <c r="X45" s="5" t="s">
        <v>31</v>
      </c>
      <c r="Y45" s="11">
        <f t="shared" si="20"/>
        <v>2.7186761229314556</v>
      </c>
      <c r="Z45" s="11">
        <f t="shared" si="21"/>
        <v>0.81339712918659746</v>
      </c>
      <c r="AA45" s="11">
        <f t="shared" si="22"/>
        <v>2.2607781282860206</v>
      </c>
      <c r="AB45" s="11">
        <f t="shared" si="23"/>
        <v>0.57603686635944706</v>
      </c>
      <c r="AC45" s="11">
        <f t="shared" si="24"/>
        <v>0.68965517241379914</v>
      </c>
      <c r="AD45" s="11">
        <f t="shared" si="25"/>
        <v>0.18987341772152619</v>
      </c>
      <c r="AE45" s="11">
        <f t="shared" si="26"/>
        <v>3.7523452157598496</v>
      </c>
      <c r="AF45" s="11">
        <f t="shared" si="27"/>
        <v>5.8548009367678171E-2</v>
      </c>
      <c r="AG45" s="11">
        <f t="shared" si="28"/>
        <v>0.57471264367816322</v>
      </c>
      <c r="AH45" s="11">
        <f t="shared" si="29"/>
        <v>1.5594541910331468</v>
      </c>
      <c r="AI45" s="11">
        <f t="shared" si="30"/>
        <v>0.23391812865497411</v>
      </c>
      <c r="AJ45" s="11">
        <f t="shared" si="31"/>
        <v>0.47293746715710833</v>
      </c>
      <c r="AK45" s="11">
        <f t="shared" si="32"/>
        <v>0.45480386583284982</v>
      </c>
    </row>
    <row r="46" spans="1:37">
      <c r="T46" s="44" t="s">
        <v>11</v>
      </c>
      <c r="U46" s="45">
        <f>AG50</f>
        <v>5.7894228415928781</v>
      </c>
      <c r="W46" s="5">
        <v>2023</v>
      </c>
      <c r="X46" s="5" t="s">
        <v>35</v>
      </c>
      <c r="Y46" s="11">
        <f t="shared" si="20"/>
        <v>0.34522439585730397</v>
      </c>
      <c r="Z46" s="11">
        <f t="shared" si="21"/>
        <v>1.423825344091125</v>
      </c>
      <c r="AA46" s="11">
        <f t="shared" si="22"/>
        <v>9.922879177377899</v>
      </c>
      <c r="AB46" s="11">
        <f t="shared" si="23"/>
        <v>1.5463917525773294</v>
      </c>
      <c r="AC46" s="11">
        <f t="shared" si="24"/>
        <v>4.2200854700854578</v>
      </c>
      <c r="AD46" s="11">
        <f t="shared" si="25"/>
        <v>7.0751737207833152</v>
      </c>
      <c r="AE46" s="11">
        <f t="shared" si="26"/>
        <v>0.77972709551658026</v>
      </c>
      <c r="AF46" s="11">
        <f t="shared" si="27"/>
        <v>5.8513750731418554E-2</v>
      </c>
      <c r="AG46" s="11">
        <f t="shared" si="28"/>
        <v>0.90834021469859161</v>
      </c>
      <c r="AH46" s="11">
        <f t="shared" si="29"/>
        <v>0.62380038387715109</v>
      </c>
      <c r="AI46" s="11">
        <f t="shared" si="30"/>
        <v>0.52508751458576763</v>
      </c>
      <c r="AJ46" s="11">
        <f t="shared" si="31"/>
        <v>0.94142259414226537</v>
      </c>
      <c r="AK46" s="11">
        <f t="shared" si="32"/>
        <v>0.16977928692700134</v>
      </c>
    </row>
    <row r="47" spans="1:37">
      <c r="T47" s="44" t="s">
        <v>12</v>
      </c>
      <c r="U47" s="45">
        <f>AH50</f>
        <v>15.412549550326261</v>
      </c>
      <c r="W47" s="5">
        <v>2023</v>
      </c>
      <c r="X47" s="5" t="s">
        <v>36</v>
      </c>
      <c r="Y47" s="11">
        <f t="shared" si="20"/>
        <v>0</v>
      </c>
      <c r="Z47" s="11">
        <f t="shared" si="21"/>
        <v>0</v>
      </c>
      <c r="AA47" s="11">
        <f t="shared" si="22"/>
        <v>0</v>
      </c>
      <c r="AB47" s="11">
        <f t="shared" si="23"/>
        <v>0</v>
      </c>
      <c r="AC47" s="11">
        <f t="shared" si="24"/>
        <v>5.5772448410497895E-2</v>
      </c>
      <c r="AD47" s="11">
        <f t="shared" si="25"/>
        <v>0</v>
      </c>
      <c r="AE47" s="11">
        <f t="shared" si="26"/>
        <v>6.5487884741337751E-2</v>
      </c>
      <c r="AF47" s="11">
        <f t="shared" si="27"/>
        <v>5.8479532163739363E-2</v>
      </c>
      <c r="AG47" s="11">
        <f t="shared" si="28"/>
        <v>0</v>
      </c>
      <c r="AH47" s="11">
        <f t="shared" si="29"/>
        <v>0</v>
      </c>
      <c r="AI47" s="11">
        <f t="shared" si="30"/>
        <v>0</v>
      </c>
      <c r="AJ47" s="11">
        <f t="shared" si="31"/>
        <v>0</v>
      </c>
      <c r="AK47" s="11">
        <f t="shared" si="32"/>
        <v>0</v>
      </c>
    </row>
    <row r="48" spans="1:37">
      <c r="T48" s="44" t="s">
        <v>13</v>
      </c>
      <c r="U48" s="45">
        <f>AI50</f>
        <v>3.2287590315394548</v>
      </c>
      <c r="W48" s="5">
        <v>2023</v>
      </c>
      <c r="X48" s="5" t="s">
        <v>37</v>
      </c>
      <c r="Y48" s="11">
        <f t="shared" si="20"/>
        <v>0.34403669724770314</v>
      </c>
      <c r="Z48" s="11">
        <f t="shared" si="21"/>
        <v>0.77034183919115207</v>
      </c>
      <c r="AA48" s="11">
        <f t="shared" si="22"/>
        <v>3.1963470319634673</v>
      </c>
      <c r="AB48" s="11">
        <f t="shared" si="23"/>
        <v>0.62041737168640398</v>
      </c>
      <c r="AC48" s="11">
        <f t="shared" si="24"/>
        <v>2.3995535714285623</v>
      </c>
      <c r="AD48" s="11">
        <f t="shared" si="25"/>
        <v>4.0117994100295054</v>
      </c>
      <c r="AE48" s="11">
        <f t="shared" si="26"/>
        <v>1.7015706806282684</v>
      </c>
      <c r="AF48" s="11">
        <f t="shared" si="27"/>
        <v>1.3442431326709592</v>
      </c>
      <c r="AG48" s="11">
        <f t="shared" si="28"/>
        <v>1.083333333333331</v>
      </c>
      <c r="AH48" s="11">
        <f t="shared" si="29"/>
        <v>1.5259895088221351</v>
      </c>
      <c r="AI48" s="11">
        <f t="shared" si="30"/>
        <v>0.34822983168891136</v>
      </c>
      <c r="AJ48" s="11">
        <f t="shared" si="31"/>
        <v>0.2590673575129534</v>
      </c>
      <c r="AK48" s="11">
        <f t="shared" si="32"/>
        <v>0.50847457627118964</v>
      </c>
    </row>
    <row r="49" spans="20:37">
      <c r="T49" s="44" t="s">
        <v>14</v>
      </c>
      <c r="U49" s="45">
        <f>AJ50</f>
        <v>5.4661891133482294</v>
      </c>
      <c r="W49" s="5">
        <v>2023</v>
      </c>
      <c r="X49" s="5" t="s">
        <v>38</v>
      </c>
      <c r="Y49" s="11">
        <f t="shared" si="20"/>
        <v>5.7537399309564287E-2</v>
      </c>
      <c r="Z49" s="11">
        <f t="shared" si="21"/>
        <v>2.3889154323936932</v>
      </c>
      <c r="AA49" s="11">
        <f t="shared" si="22"/>
        <v>2.1226415094339588</v>
      </c>
      <c r="AB49" s="11">
        <f t="shared" si="23"/>
        <v>0.61659192825111786</v>
      </c>
      <c r="AC49" s="11">
        <f t="shared" si="24"/>
        <v>2.8016009148084651</v>
      </c>
      <c r="AD49" s="11">
        <f t="shared" si="25"/>
        <v>2.3255813953488502</v>
      </c>
      <c r="AE49" s="11">
        <f t="shared" si="26"/>
        <v>3.6036036036036001</v>
      </c>
      <c r="AF49" s="11">
        <f t="shared" si="27"/>
        <v>1.268742791234134</v>
      </c>
      <c r="AG49" s="11">
        <f t="shared" si="28"/>
        <v>1.1541632316570534</v>
      </c>
      <c r="AH49" s="11">
        <f t="shared" si="29"/>
        <v>2.3954908407703117</v>
      </c>
      <c r="AI49" s="11">
        <f t="shared" si="30"/>
        <v>0.2891844997108155</v>
      </c>
      <c r="AJ49" s="11">
        <f t="shared" si="31"/>
        <v>0.36175710594314658</v>
      </c>
      <c r="AK49" s="11">
        <f t="shared" si="32"/>
        <v>0.6745362563237709</v>
      </c>
    </row>
    <row r="50" spans="20:37">
      <c r="T50" s="44" t="s">
        <v>15</v>
      </c>
      <c r="U50" s="45">
        <f>AK50</f>
        <v>6.5406992969881559</v>
      </c>
      <c r="W50" s="67" t="s">
        <v>64</v>
      </c>
      <c r="X50" s="67"/>
      <c r="Y50" s="40">
        <f>SUM(Y38:Y49)</f>
        <v>12.304331882110967</v>
      </c>
      <c r="Z50" s="40">
        <f t="shared" ref="Z50:AK50" si="33">SUM(Z38:Z49)</f>
        <v>14.387554504785195</v>
      </c>
      <c r="AA50" s="40">
        <f t="shared" si="33"/>
        <v>35.501155786958236</v>
      </c>
      <c r="AB50" s="40">
        <f t="shared" si="33"/>
        <v>7.9749422148858304</v>
      </c>
      <c r="AC50" s="40">
        <f t="shared" si="33"/>
        <v>19.029273962557721</v>
      </c>
      <c r="AD50" s="40">
        <f t="shared" si="33"/>
        <v>25.884043570736083</v>
      </c>
      <c r="AE50" s="40">
        <f t="shared" si="33"/>
        <v>40.372197675218267</v>
      </c>
      <c r="AF50" s="40">
        <f t="shared" si="33"/>
        <v>6.692113783644567</v>
      </c>
      <c r="AG50" s="40">
        <f t="shared" si="33"/>
        <v>5.7894228415928781</v>
      </c>
      <c r="AH50" s="40">
        <f t="shared" si="33"/>
        <v>15.412549550326261</v>
      </c>
      <c r="AI50" s="40">
        <f t="shared" si="33"/>
        <v>3.2287590315394548</v>
      </c>
      <c r="AJ50" s="40">
        <f t="shared" si="33"/>
        <v>5.4661891133482294</v>
      </c>
      <c r="AK50" s="40">
        <f t="shared" si="33"/>
        <v>6.5406992969881559</v>
      </c>
    </row>
    <row r="51" spans="20:37">
      <c r="W51" s="67" t="s">
        <v>70</v>
      </c>
      <c r="X51" s="67"/>
      <c r="Y51" s="40">
        <f>AVERAGE(Y38:Y49)</f>
        <v>1.025360990175914</v>
      </c>
      <c r="Z51" s="40">
        <f t="shared" ref="Z51:AK51" si="34">AVERAGE(Z38:Z49)</f>
        <v>1.1989628753987662</v>
      </c>
      <c r="AA51" s="40">
        <f t="shared" si="34"/>
        <v>2.9584296489131865</v>
      </c>
      <c r="AB51" s="40">
        <f t="shared" si="34"/>
        <v>0.6645785179071525</v>
      </c>
      <c r="AC51" s="40">
        <f t="shared" si="34"/>
        <v>1.5857728302131433</v>
      </c>
      <c r="AD51" s="40">
        <f t="shared" si="34"/>
        <v>2.1570036308946734</v>
      </c>
      <c r="AE51" s="40">
        <f t="shared" si="34"/>
        <v>3.3643498062681889</v>
      </c>
      <c r="AF51" s="40">
        <f t="shared" si="34"/>
        <v>0.55767614863704729</v>
      </c>
      <c r="AG51" s="40">
        <f t="shared" si="34"/>
        <v>0.4824519034660732</v>
      </c>
      <c r="AH51" s="40">
        <f t="shared" si="34"/>
        <v>1.2843791291938551</v>
      </c>
      <c r="AI51" s="40">
        <f t="shared" si="34"/>
        <v>0.2690632526282879</v>
      </c>
      <c r="AJ51" s="40">
        <f t="shared" si="34"/>
        <v>0.45551575944568579</v>
      </c>
      <c r="AK51" s="40">
        <f t="shared" si="34"/>
        <v>0.54505827474901303</v>
      </c>
    </row>
    <row r="52" spans="20:37">
      <c r="T52" s="41" t="s">
        <v>65</v>
      </c>
      <c r="U52" s="39" t="s">
        <v>71</v>
      </c>
      <c r="Y52" s="22"/>
    </row>
    <row r="53" spans="20:37">
      <c r="T53" s="44" t="s">
        <v>3</v>
      </c>
      <c r="U53" s="51">
        <f>Y51</f>
        <v>1.025360990175914</v>
      </c>
      <c r="Y53" s="22"/>
      <c r="Z53" s="46" t="s">
        <v>67</v>
      </c>
      <c r="AA53" s="47">
        <f>MAX(Y50:AK50)</f>
        <v>40.372197675218267</v>
      </c>
    </row>
    <row r="54" spans="20:37">
      <c r="T54" s="44" t="s">
        <v>4</v>
      </c>
      <c r="U54" s="51">
        <f>Z51</f>
        <v>1.1989628753987662</v>
      </c>
      <c r="Z54" s="46" t="s">
        <v>68</v>
      </c>
      <c r="AA54" s="47">
        <f>MIN(Y50:AK50)</f>
        <v>3.2287590315394548</v>
      </c>
    </row>
    <row r="55" spans="20:37">
      <c r="T55" s="44" t="s">
        <v>5</v>
      </c>
      <c r="U55" s="51">
        <f>AA51</f>
        <v>2.9584296489131865</v>
      </c>
    </row>
    <row r="56" spans="20:37">
      <c r="T56" s="44" t="s">
        <v>6</v>
      </c>
      <c r="U56" s="51">
        <f>AB51</f>
        <v>0.6645785179071525</v>
      </c>
    </row>
    <row r="57" spans="20:37">
      <c r="T57" s="44" t="s">
        <v>7</v>
      </c>
      <c r="U57" s="51">
        <f>AC51</f>
        <v>1.5857728302131433</v>
      </c>
    </row>
    <row r="58" spans="20:37">
      <c r="T58" s="44" t="s">
        <v>8</v>
      </c>
      <c r="U58" s="51">
        <f>AD51</f>
        <v>2.1570036308946734</v>
      </c>
    </row>
    <row r="59" spans="20:37">
      <c r="T59" s="44" t="s">
        <v>9</v>
      </c>
      <c r="U59" s="51">
        <f>AE51</f>
        <v>3.3643498062681889</v>
      </c>
    </row>
    <row r="60" spans="20:37">
      <c r="T60" s="44" t="s">
        <v>10</v>
      </c>
      <c r="U60" s="51">
        <f>AF51</f>
        <v>0.55767614863704729</v>
      </c>
    </row>
    <row r="61" spans="20:37">
      <c r="T61" s="44" t="s">
        <v>11</v>
      </c>
      <c r="U61" s="51">
        <f>AG51</f>
        <v>0.4824519034660732</v>
      </c>
    </row>
    <row r="62" spans="20:37">
      <c r="T62" s="44" t="s">
        <v>12</v>
      </c>
      <c r="U62" s="51">
        <f>AH51</f>
        <v>1.2843791291938551</v>
      </c>
    </row>
    <row r="63" spans="20:37">
      <c r="T63" s="44" t="s">
        <v>13</v>
      </c>
      <c r="U63" s="51">
        <f>AI51</f>
        <v>0.2690632526282879</v>
      </c>
    </row>
    <row r="64" spans="20:37">
      <c r="T64" s="44" t="s">
        <v>14</v>
      </c>
      <c r="U64" s="51">
        <f>AJ51</f>
        <v>0.45551575944568579</v>
      </c>
    </row>
    <row r="65" spans="20:21">
      <c r="T65" s="44" t="s">
        <v>15</v>
      </c>
      <c r="U65" s="51">
        <f>AK51</f>
        <v>0.54505827474901303</v>
      </c>
    </row>
  </sheetData>
  <mergeCells count="3">
    <mergeCell ref="V2:Y2"/>
    <mergeCell ref="W50:X50"/>
    <mergeCell ref="W51:X51"/>
  </mergeCells>
  <conditionalFormatting sqref="X4:Y15">
    <cfRule type="colorScale" priority="3">
      <colorScale>
        <cfvo type="min"/>
        <cfvo type="max"/>
        <color rgb="FFFFEF9C"/>
        <color rgb="FF63BE7B"/>
      </colorScale>
    </cfRule>
  </conditionalFormatting>
  <conditionalFormatting sqref="Y21:AK21 Y22:AX32">
    <cfRule type="colorScale" priority="1">
      <colorScale>
        <cfvo type="min"/>
        <cfvo type="max"/>
        <color rgb="FF63BE7B"/>
        <color rgb="FFFCFCFF"/>
      </colorScale>
    </cfRule>
  </conditionalFormatting>
  <conditionalFormatting sqref="Z4:Z1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Z2 AI19" xr:uid="{F237CBB1-6A62-4367-B597-D9E2C0F15407}">
      <formula1>$A:$A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7750-EB91-4EF1-9127-494AF0F2D080}">
  <dimension ref="A1:AF45"/>
  <sheetViews>
    <sheetView topLeftCell="K13" zoomScaleNormal="100" workbookViewId="0">
      <selection activeCell="M20" sqref="M20"/>
    </sheetView>
  </sheetViews>
  <sheetFormatPr defaultRowHeight="14.4"/>
  <cols>
    <col min="5" max="5" width="13.77734375" customWidth="1"/>
    <col min="7" max="7" width="9.5546875" customWidth="1"/>
    <col min="8" max="8" width="14.33203125" customWidth="1"/>
    <col min="14" max="14" width="9.77734375" bestFit="1" customWidth="1"/>
    <col min="19" max="19" width="12.44140625" bestFit="1" customWidth="1"/>
    <col min="31" max="31" width="12.44140625" bestFit="1" customWidth="1"/>
  </cols>
  <sheetData>
    <row r="1" spans="1:32">
      <c r="A1" s="48" t="s">
        <v>0</v>
      </c>
      <c r="B1" s="48" t="s">
        <v>1</v>
      </c>
      <c r="C1" s="48" t="s">
        <v>2</v>
      </c>
      <c r="D1" s="48" t="s">
        <v>49</v>
      </c>
      <c r="E1" s="48" t="s">
        <v>69</v>
      </c>
      <c r="F1" s="48" t="s">
        <v>23</v>
      </c>
      <c r="G1" s="48" t="s">
        <v>20</v>
      </c>
      <c r="H1" s="48" t="s">
        <v>29</v>
      </c>
    </row>
    <row r="2" spans="1:32">
      <c r="A2" s="13" t="s">
        <v>34</v>
      </c>
      <c r="B2" s="13">
        <v>2019</v>
      </c>
      <c r="C2" s="13" t="s">
        <v>31</v>
      </c>
      <c r="D2" s="13">
        <v>1753.3999999999999</v>
      </c>
      <c r="E2" s="13">
        <v>262.8</v>
      </c>
      <c r="F2" s="13">
        <v>145.1</v>
      </c>
      <c r="G2" s="13">
        <v>147.69999999999999</v>
      </c>
      <c r="H2" s="13">
        <v>139.6</v>
      </c>
      <c r="M2" s="49" t="s">
        <v>1</v>
      </c>
      <c r="N2" s="49" t="s">
        <v>2</v>
      </c>
      <c r="O2" s="49" t="s">
        <v>49</v>
      </c>
      <c r="P2" s="49" t="s">
        <v>69</v>
      </c>
      <c r="Q2" s="49" t="s">
        <v>23</v>
      </c>
      <c r="R2" s="49" t="s">
        <v>20</v>
      </c>
      <c r="S2" s="49" t="s">
        <v>29</v>
      </c>
      <c r="T2" s="49" t="s">
        <v>49</v>
      </c>
      <c r="U2" s="49" t="s">
        <v>69</v>
      </c>
      <c r="V2" s="49" t="s">
        <v>23</v>
      </c>
      <c r="W2" s="49" t="s">
        <v>20</v>
      </c>
      <c r="X2" s="49" t="s">
        <v>29</v>
      </c>
      <c r="Z2" s="70" t="s">
        <v>73</v>
      </c>
      <c r="AA2" s="70"/>
      <c r="AE2" s="49" t="s">
        <v>72</v>
      </c>
      <c r="AF2" s="25" t="s">
        <v>61</v>
      </c>
    </row>
    <row r="3" spans="1:32">
      <c r="A3" s="13" t="s">
        <v>34</v>
      </c>
      <c r="B3" s="13">
        <v>2019</v>
      </c>
      <c r="C3" s="13" t="s">
        <v>35</v>
      </c>
      <c r="D3" s="13">
        <v>1757.1</v>
      </c>
      <c r="E3" s="13">
        <v>262.3</v>
      </c>
      <c r="F3" s="13">
        <v>145.6</v>
      </c>
      <c r="G3" s="13">
        <v>148.5</v>
      </c>
      <c r="H3" s="13">
        <v>139.9</v>
      </c>
      <c r="M3" s="5">
        <v>2019</v>
      </c>
      <c r="N3" s="5" t="s">
        <v>38</v>
      </c>
      <c r="O3" s="5">
        <f>SUMIFS(D:D,$C:$C,$N3,$B:$B,$M3)</f>
        <v>1791.9000000000003</v>
      </c>
      <c r="P3" s="5">
        <f>SUMIFS(E:E,$C:$C,$N3,$B:$B,$M3)</f>
        <v>265.20000000000005</v>
      </c>
      <c r="Q3" s="5">
        <f>SUMIFS(F:F,$C:$C,$N3,$B:$B,$M3)</f>
        <v>146.9</v>
      </c>
      <c r="R3" s="5">
        <f>SUMIFS(G:G,$C:$C,$N3,$B:$B,$M3)</f>
        <v>150.1</v>
      </c>
      <c r="S3" s="5">
        <f>SUMIFS(H:H,$C:$C,$N3,$B:$B,$M3)</f>
        <v>142</v>
      </c>
      <c r="T3" s="5"/>
      <c r="U3" s="5"/>
      <c r="V3" s="5"/>
      <c r="W3" s="5"/>
      <c r="X3" s="5"/>
      <c r="Z3" s="49" t="s">
        <v>49</v>
      </c>
      <c r="AA3" s="45">
        <f>T15</f>
        <v>0.56862410004687347</v>
      </c>
      <c r="AE3" s="49" t="s">
        <v>49</v>
      </c>
      <c r="AF3" s="45">
        <f>ABS(AA3-AA11)</f>
        <v>6.2038012337757964E-2</v>
      </c>
    </row>
    <row r="4" spans="1:32">
      <c r="A4" s="13" t="s">
        <v>34</v>
      </c>
      <c r="B4" s="13">
        <v>2019</v>
      </c>
      <c r="C4" s="13" t="s">
        <v>36</v>
      </c>
      <c r="D4" s="13">
        <v>1762.9</v>
      </c>
      <c r="E4" s="13">
        <v>264.29999999999995</v>
      </c>
      <c r="F4" s="13">
        <v>146.19999999999999</v>
      </c>
      <c r="G4" s="13">
        <v>149</v>
      </c>
      <c r="H4" s="13">
        <v>140.4</v>
      </c>
      <c r="M4" s="5">
        <v>2019</v>
      </c>
      <c r="N4" s="5" t="s">
        <v>39</v>
      </c>
      <c r="O4" s="5">
        <f t="shared" ref="O4:O13" si="0">SUMIFS(D:D,$C:$C,$N4,$B:$B,$M4)</f>
        <v>1814.1000000000001</v>
      </c>
      <c r="P4" s="5">
        <f t="shared" ref="P4:P13" si="1">SUMIFS(E:E,$C:$C,$N4,$B:$B,$M4)</f>
        <v>265.79999999999995</v>
      </c>
      <c r="Q4" s="5">
        <f t="shared" ref="Q4:Q13" si="2">SUMIFS(F:F,$C:$C,$N4,$B:$B,$M4)</f>
        <v>147.4</v>
      </c>
      <c r="R4" s="5">
        <f t="shared" ref="R4:R13" si="3">SUMIFS(G:G,$C:$C,$N4,$B:$B,$M4)</f>
        <v>149.4</v>
      </c>
      <c r="S4" s="53">
        <f t="shared" ref="S4:S13" si="4">SUMIFS(H:H,$C:$C,$N4,$B:$B,$M4)</f>
        <v>142.9</v>
      </c>
      <c r="T4" s="11">
        <f>(O4-O3)/O3*100</f>
        <v>1.2389084212288528</v>
      </c>
      <c r="U4" s="11">
        <f t="shared" ref="U4:X13" si="5">(P4-P3)/P3*100</f>
        <v>0.22624434389136838</v>
      </c>
      <c r="V4" s="11">
        <f t="shared" si="5"/>
        <v>0.3403675970047651</v>
      </c>
      <c r="W4" s="11">
        <f t="shared" si="5"/>
        <v>-0.46635576282477592</v>
      </c>
      <c r="X4" s="38">
        <f t="shared" si="5"/>
        <v>0.63380281690141249</v>
      </c>
      <c r="Z4" s="49" t="s">
        <v>69</v>
      </c>
      <c r="AA4" s="45">
        <f>U15</f>
        <v>0.5028292237222568</v>
      </c>
      <c r="AE4" s="49" t="s">
        <v>69</v>
      </c>
      <c r="AF4" s="45">
        <f>ABS(AA4-AA12)</f>
        <v>0.26693023971746788</v>
      </c>
    </row>
    <row r="5" spans="1:32">
      <c r="A5" s="13" t="s">
        <v>34</v>
      </c>
      <c r="B5" s="13">
        <v>2019</v>
      </c>
      <c r="C5" s="13" t="s">
        <v>38</v>
      </c>
      <c r="D5" s="13">
        <v>1791.9000000000003</v>
      </c>
      <c r="E5" s="13">
        <v>265.20000000000005</v>
      </c>
      <c r="F5" s="13">
        <v>146.9</v>
      </c>
      <c r="G5" s="13">
        <v>150.1</v>
      </c>
      <c r="H5" s="13">
        <v>142</v>
      </c>
      <c r="M5" s="5">
        <v>2019</v>
      </c>
      <c r="N5" s="5" t="s">
        <v>40</v>
      </c>
      <c r="O5" s="5">
        <f t="shared" si="0"/>
        <v>1837.5</v>
      </c>
      <c r="P5" s="5">
        <f t="shared" si="1"/>
        <v>264.89999999999998</v>
      </c>
      <c r="Q5" s="5">
        <f t="shared" si="2"/>
        <v>147.9</v>
      </c>
      <c r="R5" s="5">
        <f t="shared" si="3"/>
        <v>150.6</v>
      </c>
      <c r="S5" s="5">
        <f t="shared" si="4"/>
        <v>144.19999999999999</v>
      </c>
      <c r="T5" s="11">
        <f t="shared" ref="T5:T13" si="6">(O5-O4)/O4*100</f>
        <v>1.289895816107153</v>
      </c>
      <c r="U5" s="11">
        <f t="shared" si="5"/>
        <v>-0.33860045146726014</v>
      </c>
      <c r="V5" s="11">
        <f t="shared" si="5"/>
        <v>0.33921302578018991</v>
      </c>
      <c r="W5" s="11">
        <f t="shared" si="5"/>
        <v>0.80321285140561482</v>
      </c>
      <c r="X5" s="38">
        <f t="shared" si="5"/>
        <v>0.9097270818754255</v>
      </c>
      <c r="Z5" s="49" t="s">
        <v>23</v>
      </c>
      <c r="AA5" s="45">
        <f>V15</f>
        <v>0.36167647667234021</v>
      </c>
      <c r="AE5" s="49" t="s">
        <v>23</v>
      </c>
      <c r="AF5" s="45">
        <f>ABS(AA5-AA13)</f>
        <v>0.18240573026852708</v>
      </c>
    </row>
    <row r="6" spans="1:32">
      <c r="A6" s="13" t="s">
        <v>34</v>
      </c>
      <c r="B6" s="13">
        <v>2019</v>
      </c>
      <c r="C6" s="13" t="s">
        <v>39</v>
      </c>
      <c r="D6" s="13">
        <v>1814.1000000000001</v>
      </c>
      <c r="E6" s="13">
        <v>265.79999999999995</v>
      </c>
      <c r="F6" s="13">
        <v>147.4</v>
      </c>
      <c r="G6" s="13">
        <v>149.4</v>
      </c>
      <c r="H6" s="13">
        <v>142.9</v>
      </c>
      <c r="M6" s="5">
        <v>2019</v>
      </c>
      <c r="N6" s="5" t="s">
        <v>41</v>
      </c>
      <c r="O6" s="5">
        <f t="shared" si="0"/>
        <v>1846.5</v>
      </c>
      <c r="P6" s="5">
        <f t="shared" si="1"/>
        <v>264.3</v>
      </c>
      <c r="Q6" s="5">
        <f t="shared" si="2"/>
        <v>148.5</v>
      </c>
      <c r="R6" s="5">
        <f t="shared" si="3"/>
        <v>151.6</v>
      </c>
      <c r="S6" s="5">
        <f t="shared" si="4"/>
        <v>145</v>
      </c>
      <c r="T6" s="11">
        <f t="shared" si="6"/>
        <v>0.48979591836734693</v>
      </c>
      <c r="U6" s="11">
        <f t="shared" si="5"/>
        <v>-0.22650056625140277</v>
      </c>
      <c r="V6" s="11">
        <f t="shared" si="5"/>
        <v>0.40567951318458034</v>
      </c>
      <c r="W6" s="11">
        <f t="shared" si="5"/>
        <v>0.66401062416998669</v>
      </c>
      <c r="X6" s="38">
        <f t="shared" si="5"/>
        <v>0.55478502080444614</v>
      </c>
      <c r="Z6" s="49" t="s">
        <v>20</v>
      </c>
      <c r="AA6" s="45">
        <f>W15</f>
        <v>0.29039337425512773</v>
      </c>
      <c r="AE6" s="49" t="s">
        <v>20</v>
      </c>
      <c r="AF6" s="45">
        <f>ABS(AA6-AA14)</f>
        <v>2.6964406247885819E-2</v>
      </c>
    </row>
    <row r="7" spans="1:32">
      <c r="A7" s="13" t="s">
        <v>34</v>
      </c>
      <c r="B7" s="13">
        <v>2019</v>
      </c>
      <c r="C7" s="13" t="s">
        <v>40</v>
      </c>
      <c r="D7" s="13">
        <v>1837.5</v>
      </c>
      <c r="E7" s="13">
        <v>264.89999999999998</v>
      </c>
      <c r="F7" s="13">
        <v>147.9</v>
      </c>
      <c r="G7" s="13">
        <v>150.6</v>
      </c>
      <c r="H7" s="13">
        <v>144.19999999999999</v>
      </c>
      <c r="M7" s="5">
        <v>2019</v>
      </c>
      <c r="N7" s="5" t="s">
        <v>42</v>
      </c>
      <c r="O7" s="5">
        <f t="shared" si="0"/>
        <v>1857.6999999999998</v>
      </c>
      <c r="P7" s="5">
        <f t="shared" si="1"/>
        <v>265.29999999999995</v>
      </c>
      <c r="Q7" s="5">
        <f t="shared" si="2"/>
        <v>149</v>
      </c>
      <c r="R7" s="5">
        <f t="shared" si="3"/>
        <v>152.19999999999999</v>
      </c>
      <c r="S7" s="5">
        <f t="shared" si="4"/>
        <v>145.80000000000001</v>
      </c>
      <c r="T7" s="11">
        <f t="shared" si="6"/>
        <v>0.60655293799078358</v>
      </c>
      <c r="U7" s="11">
        <f t="shared" si="5"/>
        <v>0.37835792659854073</v>
      </c>
      <c r="V7" s="11">
        <f t="shared" si="5"/>
        <v>0.33670033670033667</v>
      </c>
      <c r="W7" s="11">
        <f t="shared" si="5"/>
        <v>0.3957783641160913</v>
      </c>
      <c r="X7" s="38">
        <f t="shared" si="5"/>
        <v>0.55172413793104236</v>
      </c>
      <c r="Z7" s="49" t="s">
        <v>29</v>
      </c>
      <c r="AA7" s="45">
        <f>X15</f>
        <v>0.45719700242461342</v>
      </c>
      <c r="AE7" s="49" t="s">
        <v>29</v>
      </c>
      <c r="AF7" s="45">
        <f>ABS(AA7-AA15)</f>
        <v>2.0509829014908443E-2</v>
      </c>
    </row>
    <row r="8" spans="1:32">
      <c r="A8" s="13" t="s">
        <v>34</v>
      </c>
      <c r="B8" s="13">
        <v>2019</v>
      </c>
      <c r="C8" s="13" t="s">
        <v>41</v>
      </c>
      <c r="D8" s="13">
        <v>1846.5</v>
      </c>
      <c r="E8" s="13">
        <v>264.3</v>
      </c>
      <c r="F8" s="13">
        <v>148.5</v>
      </c>
      <c r="G8" s="13">
        <v>151.6</v>
      </c>
      <c r="H8" s="13">
        <v>145</v>
      </c>
      <c r="M8" s="5">
        <v>2019</v>
      </c>
      <c r="N8" s="5" t="s">
        <v>43</v>
      </c>
      <c r="O8" s="5">
        <f t="shared" si="0"/>
        <v>1885.5999999999997</v>
      </c>
      <c r="P8" s="5">
        <f t="shared" si="1"/>
        <v>266.89999999999998</v>
      </c>
      <c r="Q8" s="5">
        <f t="shared" si="2"/>
        <v>149.4</v>
      </c>
      <c r="R8" s="5">
        <f t="shared" si="3"/>
        <v>153</v>
      </c>
      <c r="S8" s="5">
        <f t="shared" si="4"/>
        <v>147.19999999999999</v>
      </c>
      <c r="T8" s="11">
        <f t="shared" si="6"/>
        <v>1.501857135167135</v>
      </c>
      <c r="U8" s="11">
        <f t="shared" si="5"/>
        <v>0.60309084055786777</v>
      </c>
      <c r="V8" s="11">
        <f t="shared" si="5"/>
        <v>0.26845637583892995</v>
      </c>
      <c r="W8" s="11">
        <f t="shared" si="5"/>
        <v>0.52562417871222822</v>
      </c>
      <c r="X8" s="38">
        <f t="shared" si="5"/>
        <v>0.96021947873798152</v>
      </c>
    </row>
    <row r="9" spans="1:32">
      <c r="A9" s="13" t="s">
        <v>34</v>
      </c>
      <c r="B9" s="13">
        <v>2019</v>
      </c>
      <c r="C9" s="13" t="s">
        <v>42</v>
      </c>
      <c r="D9" s="13">
        <v>1857.6999999999998</v>
      </c>
      <c r="E9" s="13">
        <v>265.29999999999995</v>
      </c>
      <c r="F9" s="13">
        <v>149</v>
      </c>
      <c r="G9" s="13">
        <v>152.19999999999999</v>
      </c>
      <c r="H9" s="13">
        <v>145.80000000000001</v>
      </c>
      <c r="M9" s="5">
        <v>2019</v>
      </c>
      <c r="N9" s="5" t="s">
        <v>45</v>
      </c>
      <c r="O9" s="5">
        <f t="shared" si="0"/>
        <v>1910.9</v>
      </c>
      <c r="P9" s="5">
        <f t="shared" si="1"/>
        <v>268.89999999999998</v>
      </c>
      <c r="Q9" s="5">
        <f t="shared" si="2"/>
        <v>149.9</v>
      </c>
      <c r="R9" s="5">
        <f t="shared" si="3"/>
        <v>153.5</v>
      </c>
      <c r="S9" s="5">
        <f t="shared" si="4"/>
        <v>148.6</v>
      </c>
      <c r="T9" s="11">
        <f t="shared" si="6"/>
        <v>1.3417479847263689</v>
      </c>
      <c r="U9" s="11">
        <f t="shared" si="5"/>
        <v>0.74934432371674786</v>
      </c>
      <c r="V9" s="11">
        <f t="shared" si="5"/>
        <v>0.33467202141900937</v>
      </c>
      <c r="W9" s="11">
        <f t="shared" si="5"/>
        <v>0.32679738562091504</v>
      </c>
      <c r="X9" s="38">
        <f t="shared" si="5"/>
        <v>0.95108695652174302</v>
      </c>
    </row>
    <row r="10" spans="1:32">
      <c r="A10" s="13" t="s">
        <v>34</v>
      </c>
      <c r="B10" s="13">
        <v>2019</v>
      </c>
      <c r="C10" s="13" t="s">
        <v>43</v>
      </c>
      <c r="D10" s="13">
        <v>1885.5999999999997</v>
      </c>
      <c r="E10" s="13">
        <v>266.89999999999998</v>
      </c>
      <c r="F10" s="13">
        <v>149.4</v>
      </c>
      <c r="G10" s="13">
        <v>153</v>
      </c>
      <c r="H10" s="13">
        <v>147.19999999999999</v>
      </c>
      <c r="M10" s="5">
        <v>2019</v>
      </c>
      <c r="N10" s="5" t="s">
        <v>46</v>
      </c>
      <c r="O10" s="5">
        <f t="shared" si="0"/>
        <v>1946.1000000000001</v>
      </c>
      <c r="P10" s="5">
        <f t="shared" si="1"/>
        <v>273.5</v>
      </c>
      <c r="Q10" s="5">
        <f t="shared" si="2"/>
        <v>150.4</v>
      </c>
      <c r="R10" s="5">
        <f t="shared" si="3"/>
        <v>152.80000000000001</v>
      </c>
      <c r="S10" s="5">
        <f t="shared" si="4"/>
        <v>150.4</v>
      </c>
      <c r="T10" s="11">
        <f t="shared" si="6"/>
        <v>1.8420639489245927</v>
      </c>
      <c r="U10" s="11">
        <f t="shared" si="5"/>
        <v>1.7106731126813028</v>
      </c>
      <c r="V10" s="11">
        <f t="shared" si="5"/>
        <v>0.33355570380253502</v>
      </c>
      <c r="W10" s="11">
        <f t="shared" si="5"/>
        <v>-0.45602605863191442</v>
      </c>
      <c r="X10" s="38">
        <f t="shared" si="5"/>
        <v>1.2113055181695904</v>
      </c>
      <c r="Z10" s="70" t="s">
        <v>74</v>
      </c>
      <c r="AA10" s="70"/>
    </row>
    <row r="11" spans="1:32">
      <c r="A11" s="13" t="s">
        <v>34</v>
      </c>
      <c r="B11" s="13">
        <v>2019</v>
      </c>
      <c r="C11" s="13" t="s">
        <v>45</v>
      </c>
      <c r="D11" s="13">
        <v>1910.9</v>
      </c>
      <c r="E11" s="13">
        <v>268.89999999999998</v>
      </c>
      <c r="F11" s="13">
        <v>149.9</v>
      </c>
      <c r="G11" s="13">
        <v>153.5</v>
      </c>
      <c r="H11" s="13">
        <v>148.6</v>
      </c>
      <c r="M11" s="5">
        <v>2020</v>
      </c>
      <c r="N11" s="5" t="s">
        <v>31</v>
      </c>
      <c r="O11" s="5">
        <f t="shared" si="0"/>
        <v>1940.3999999999999</v>
      </c>
      <c r="P11" s="5">
        <f t="shared" si="1"/>
        <v>275.5</v>
      </c>
      <c r="Q11" s="5">
        <f t="shared" si="2"/>
        <v>151.19999999999999</v>
      </c>
      <c r="R11" s="5">
        <f t="shared" si="3"/>
        <v>153.9</v>
      </c>
      <c r="S11" s="5">
        <f t="shared" si="4"/>
        <v>150.19999999999999</v>
      </c>
      <c r="T11" s="11">
        <f t="shared" si="6"/>
        <v>-0.29289347926623877</v>
      </c>
      <c r="U11" s="11">
        <f t="shared" si="5"/>
        <v>0.73126142595978061</v>
      </c>
      <c r="V11" s="11">
        <f t="shared" si="5"/>
        <v>0.53191489361700994</v>
      </c>
      <c r="W11" s="11">
        <f t="shared" si="5"/>
        <v>0.71989528795811142</v>
      </c>
      <c r="X11" s="38">
        <f t="shared" si="5"/>
        <v>-0.13297872340426667</v>
      </c>
      <c r="Z11" s="49" t="s">
        <v>49</v>
      </c>
      <c r="AA11" s="45">
        <f>T45</f>
        <v>0.50658608770911551</v>
      </c>
    </row>
    <row r="12" spans="1:32">
      <c r="A12" s="13" t="s">
        <v>34</v>
      </c>
      <c r="B12" s="13">
        <v>2019</v>
      </c>
      <c r="C12" s="13" t="s">
        <v>46</v>
      </c>
      <c r="D12" s="13">
        <v>1946.1000000000001</v>
      </c>
      <c r="E12" s="13">
        <v>273.5</v>
      </c>
      <c r="F12" s="13">
        <v>150.4</v>
      </c>
      <c r="G12" s="13">
        <v>152.80000000000001</v>
      </c>
      <c r="H12" s="13">
        <v>150.4</v>
      </c>
      <c r="M12" s="52">
        <v>2020</v>
      </c>
      <c r="N12" s="52" t="s">
        <v>35</v>
      </c>
      <c r="O12" s="52">
        <f t="shared" si="0"/>
        <v>1911.6</v>
      </c>
      <c r="P12" s="52">
        <f t="shared" si="1"/>
        <v>277.5</v>
      </c>
      <c r="Q12" s="52">
        <f t="shared" si="2"/>
        <v>151.69999999999999</v>
      </c>
      <c r="R12" s="52">
        <f t="shared" si="3"/>
        <v>154.80000000000001</v>
      </c>
      <c r="S12" s="52">
        <f t="shared" si="4"/>
        <v>149.1</v>
      </c>
      <c r="T12" s="11">
        <f t="shared" si="6"/>
        <v>-1.4842300556586248</v>
      </c>
      <c r="U12" s="11">
        <f t="shared" si="5"/>
        <v>0.72595281306715065</v>
      </c>
      <c r="V12" s="11">
        <f t="shared" si="5"/>
        <v>0.3306878306878307</v>
      </c>
      <c r="W12" s="11">
        <f t="shared" si="5"/>
        <v>0.58479532163743064</v>
      </c>
      <c r="X12" s="38">
        <f t="shared" si="5"/>
        <v>-0.73235685752329849</v>
      </c>
      <c r="Z12" s="49" t="s">
        <v>69</v>
      </c>
      <c r="AA12" s="45">
        <f>U45</f>
        <v>0.76975946343972468</v>
      </c>
    </row>
    <row r="13" spans="1:32">
      <c r="A13" s="13" t="s">
        <v>34</v>
      </c>
      <c r="B13" s="13">
        <v>2020</v>
      </c>
      <c r="C13" s="13" t="s">
        <v>31</v>
      </c>
      <c r="D13" s="13">
        <v>1940.3999999999999</v>
      </c>
      <c r="E13" s="13">
        <v>275.5</v>
      </c>
      <c r="F13" s="13">
        <v>151.19999999999999</v>
      </c>
      <c r="G13" s="13">
        <v>153.9</v>
      </c>
      <c r="H13" s="13">
        <v>150.19999999999999</v>
      </c>
      <c r="M13" s="5">
        <v>2020</v>
      </c>
      <c r="N13" s="5" t="s">
        <v>36</v>
      </c>
      <c r="O13" s="5">
        <f t="shared" si="0"/>
        <v>1895.4</v>
      </c>
      <c r="P13" s="5">
        <f t="shared" si="1"/>
        <v>278.8</v>
      </c>
      <c r="Q13" s="5">
        <f t="shared" si="2"/>
        <v>152.30000000000001</v>
      </c>
      <c r="R13" s="5">
        <f t="shared" si="3"/>
        <v>154.5</v>
      </c>
      <c r="S13" s="5">
        <f t="shared" si="4"/>
        <v>148.6</v>
      </c>
      <c r="T13" s="11">
        <f t="shared" si="6"/>
        <v>-0.84745762711863448</v>
      </c>
      <c r="U13" s="11">
        <f t="shared" si="5"/>
        <v>0.46846846846847251</v>
      </c>
      <c r="V13" s="11">
        <f t="shared" si="5"/>
        <v>0.39551746868821541</v>
      </c>
      <c r="W13" s="11">
        <f t="shared" si="5"/>
        <v>-0.19379844961241044</v>
      </c>
      <c r="X13" s="11">
        <f t="shared" si="5"/>
        <v>-0.33534540576794097</v>
      </c>
      <c r="Z13" s="49" t="s">
        <v>23</v>
      </c>
      <c r="AA13" s="45">
        <f>V45</f>
        <v>0.54408220694086729</v>
      </c>
    </row>
    <row r="14" spans="1:32">
      <c r="A14" s="13" t="s">
        <v>34</v>
      </c>
      <c r="B14" s="13">
        <v>2020</v>
      </c>
      <c r="C14" s="13" t="s">
        <v>35</v>
      </c>
      <c r="D14" s="13">
        <v>1911.6</v>
      </c>
      <c r="E14" s="13">
        <v>277.5</v>
      </c>
      <c r="F14" s="13">
        <v>151.69999999999999</v>
      </c>
      <c r="G14" s="13">
        <v>154.80000000000001</v>
      </c>
      <c r="H14" s="13">
        <v>149.1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Z14" s="49" t="s">
        <v>20</v>
      </c>
      <c r="AA14" s="45">
        <f>W45</f>
        <v>0.31735778050301355</v>
      </c>
    </row>
    <row r="15" spans="1:32">
      <c r="A15" s="13" t="s">
        <v>34</v>
      </c>
      <c r="B15" s="13">
        <v>2020</v>
      </c>
      <c r="C15" s="13" t="s">
        <v>36</v>
      </c>
      <c r="D15" s="13">
        <v>1895.4</v>
      </c>
      <c r="E15" s="13">
        <v>278.8</v>
      </c>
      <c r="F15" s="13">
        <v>152.30000000000001</v>
      </c>
      <c r="G15" s="13">
        <v>154.5</v>
      </c>
      <c r="H15" s="13">
        <v>148.6</v>
      </c>
      <c r="M15" s="67" t="s">
        <v>71</v>
      </c>
      <c r="N15" s="67"/>
      <c r="O15" s="54">
        <f>AVERAGE(O3:O13)</f>
        <v>1876.1545454545455</v>
      </c>
      <c r="P15" s="54">
        <f t="shared" ref="P15:X15" si="7">AVERAGE(P3:P13)</f>
        <v>269.69090909090914</v>
      </c>
      <c r="Q15" s="54">
        <f t="shared" si="7"/>
        <v>149.50909090909093</v>
      </c>
      <c r="R15" s="54">
        <f t="shared" si="7"/>
        <v>152.4</v>
      </c>
      <c r="S15" s="54">
        <f t="shared" si="7"/>
        <v>146.72727272727272</v>
      </c>
      <c r="T15" s="40">
        <f t="shared" si="7"/>
        <v>0.56862410004687347</v>
      </c>
      <c r="U15" s="40">
        <f t="shared" si="7"/>
        <v>0.5028292237222568</v>
      </c>
      <c r="V15" s="40">
        <f t="shared" si="7"/>
        <v>0.36167647667234021</v>
      </c>
      <c r="W15" s="40">
        <f t="shared" si="7"/>
        <v>0.29039337425512773</v>
      </c>
      <c r="X15" s="40">
        <f t="shared" si="7"/>
        <v>0.45719700242461342</v>
      </c>
      <c r="Z15" s="49" t="s">
        <v>29</v>
      </c>
      <c r="AA15" s="45">
        <f>X45</f>
        <v>0.47770683143952186</v>
      </c>
    </row>
    <row r="16" spans="1:32">
      <c r="A16" s="13" t="s">
        <v>34</v>
      </c>
      <c r="B16" s="13">
        <v>2020</v>
      </c>
      <c r="C16" s="13" t="s">
        <v>39</v>
      </c>
      <c r="D16" s="13">
        <v>1966.8000000000002</v>
      </c>
      <c r="E16" s="13">
        <v>276.89999999999998</v>
      </c>
      <c r="F16" s="13">
        <v>154.4</v>
      </c>
      <c r="G16" s="13">
        <v>154.69999999999999</v>
      </c>
      <c r="H16" s="13">
        <v>151.80000000000001</v>
      </c>
    </row>
    <row r="17" spans="1:24">
      <c r="A17" s="13" t="s">
        <v>34</v>
      </c>
      <c r="B17" s="13">
        <v>2020</v>
      </c>
      <c r="C17" s="13" t="s">
        <v>40</v>
      </c>
      <c r="D17" s="13">
        <v>1966.8000000000002</v>
      </c>
      <c r="E17" s="13">
        <v>276.89999999999998</v>
      </c>
      <c r="F17" s="13">
        <v>154.4</v>
      </c>
      <c r="G17" s="13">
        <v>154.69999999999999</v>
      </c>
      <c r="H17" s="13">
        <v>151.80000000000001</v>
      </c>
    </row>
    <row r="18" spans="1:24">
      <c r="A18" s="13" t="s">
        <v>34</v>
      </c>
      <c r="B18" s="13">
        <v>2020</v>
      </c>
      <c r="C18" s="13" t="s">
        <v>41</v>
      </c>
      <c r="D18" s="13">
        <v>1995.1999999999998</v>
      </c>
      <c r="E18" s="13">
        <v>281.5</v>
      </c>
      <c r="F18" s="13">
        <v>155</v>
      </c>
      <c r="G18" s="13">
        <v>155.5</v>
      </c>
      <c r="H18" s="13">
        <v>153.9</v>
      </c>
    </row>
    <row r="19" spans="1:24">
      <c r="A19" s="13" t="s">
        <v>34</v>
      </c>
      <c r="B19" s="13">
        <v>2020</v>
      </c>
      <c r="C19" s="13" t="s">
        <v>42</v>
      </c>
      <c r="D19" s="13">
        <v>2007</v>
      </c>
      <c r="E19" s="13">
        <v>282.5</v>
      </c>
      <c r="F19" s="13">
        <v>155.6</v>
      </c>
      <c r="G19" s="13">
        <v>156.30000000000001</v>
      </c>
      <c r="H19" s="13">
        <v>154.69999999999999</v>
      </c>
    </row>
    <row r="20" spans="1:24">
      <c r="A20" s="13" t="s">
        <v>34</v>
      </c>
      <c r="B20" s="13">
        <v>2020</v>
      </c>
      <c r="C20" s="13" t="s">
        <v>43</v>
      </c>
      <c r="D20" s="13">
        <v>2048.6000000000004</v>
      </c>
      <c r="E20" s="13">
        <v>283.7</v>
      </c>
      <c r="F20" s="13">
        <v>156.30000000000001</v>
      </c>
      <c r="G20" s="13">
        <v>156.5</v>
      </c>
      <c r="H20" s="13">
        <v>156.4</v>
      </c>
    </row>
    <row r="21" spans="1:24">
      <c r="A21" s="13" t="s">
        <v>34</v>
      </c>
      <c r="B21" s="13">
        <v>2020</v>
      </c>
      <c r="C21" s="13" t="s">
        <v>45</v>
      </c>
      <c r="D21" s="13">
        <v>2095.6</v>
      </c>
      <c r="E21" s="13">
        <v>284</v>
      </c>
      <c r="F21" s="13">
        <v>157.19999999999999</v>
      </c>
      <c r="G21" s="13">
        <v>158</v>
      </c>
      <c r="H21" s="13">
        <v>158.4</v>
      </c>
      <c r="M21" s="50" t="s">
        <v>1</v>
      </c>
      <c r="N21" s="50" t="s">
        <v>2</v>
      </c>
      <c r="O21" s="49" t="s">
        <v>49</v>
      </c>
      <c r="P21" s="49" t="s">
        <v>69</v>
      </c>
      <c r="Q21" s="49" t="s">
        <v>23</v>
      </c>
      <c r="R21" s="49" t="s">
        <v>20</v>
      </c>
      <c r="S21" s="49" t="s">
        <v>29</v>
      </c>
      <c r="T21" s="49" t="s">
        <v>49</v>
      </c>
      <c r="U21" s="49" t="s">
        <v>69</v>
      </c>
      <c r="V21" s="49" t="s">
        <v>23</v>
      </c>
      <c r="W21" s="49" t="s">
        <v>20</v>
      </c>
      <c r="X21" s="49" t="s">
        <v>29</v>
      </c>
    </row>
    <row r="22" spans="1:24">
      <c r="A22" s="13" t="s">
        <v>34</v>
      </c>
      <c r="B22" s="13">
        <v>2020</v>
      </c>
      <c r="C22" s="13" t="s">
        <v>46</v>
      </c>
      <c r="D22" s="13">
        <v>2109.1</v>
      </c>
      <c r="E22" s="13">
        <v>285.29999999999995</v>
      </c>
      <c r="F22" s="13">
        <v>158.30000000000001</v>
      </c>
      <c r="G22" s="13">
        <v>158.4</v>
      </c>
      <c r="H22" s="13">
        <v>158.9</v>
      </c>
      <c r="M22" s="5">
        <v>2020</v>
      </c>
      <c r="N22" s="5" t="s">
        <v>39</v>
      </c>
      <c r="O22" s="5">
        <f>SUMIFS(D:D,$C:$C,$N22,$B:$B,$M22)</f>
        <v>1966.8000000000002</v>
      </c>
      <c r="P22" s="5">
        <f>SUMIFS(E:E,$C:$C,$N22,$B:$B,$M22)</f>
        <v>276.89999999999998</v>
      </c>
      <c r="Q22" s="5">
        <f>SUMIFS(F:F,$C:$C,$N22,$B:$B,$M22)</f>
        <v>154.4</v>
      </c>
      <c r="R22" s="5">
        <f>SUMIFS(G:G,$C:$C,$N22,$B:$B,$M22)</f>
        <v>154.69999999999999</v>
      </c>
      <c r="S22" s="5">
        <f>SUMIFS(H:H,$C:$C,$N22,$B:$B,$M22)</f>
        <v>151.80000000000001</v>
      </c>
      <c r="T22" s="5"/>
      <c r="U22" s="5"/>
      <c r="V22" s="5"/>
      <c r="W22" s="5"/>
      <c r="X22" s="5"/>
    </row>
    <row r="23" spans="1:24">
      <c r="A23" s="13" t="s">
        <v>34</v>
      </c>
      <c r="B23" s="13">
        <v>2021</v>
      </c>
      <c r="C23" s="13" t="s">
        <v>31</v>
      </c>
      <c r="D23" s="13">
        <v>2076.5</v>
      </c>
      <c r="E23" s="13">
        <v>289.8</v>
      </c>
      <c r="F23" s="13">
        <v>159.30000000000001</v>
      </c>
      <c r="G23" s="13">
        <v>157.69999999999999</v>
      </c>
      <c r="H23" s="13">
        <v>157.30000000000001</v>
      </c>
      <c r="M23" s="5">
        <v>2020</v>
      </c>
      <c r="N23" s="5" t="s">
        <v>40</v>
      </c>
      <c r="O23" s="5">
        <f t="shared" ref="O23:O43" si="8">SUMIFS(D:D,$C:$C,$N23,$B:$B,$M23)</f>
        <v>1966.8000000000002</v>
      </c>
      <c r="P23" s="5">
        <f t="shared" ref="P23:P37" si="9">SUMIFS(E:E,$C:$C,$N23,$B:$B,$M23)</f>
        <v>276.89999999999998</v>
      </c>
      <c r="Q23" s="5">
        <f t="shared" ref="Q23:Q37" si="10">SUMIFS(F:F,$C:$C,$N23,$B:$B,$M23)</f>
        <v>154.4</v>
      </c>
      <c r="R23" s="5">
        <f t="shared" ref="R23:R37" si="11">SUMIFS(G:G,$C:$C,$N23,$B:$B,$M23)</f>
        <v>154.69999999999999</v>
      </c>
      <c r="S23" s="5">
        <f t="shared" ref="S23:S37" si="12">SUMIFS(H:H,$C:$C,$N23,$B:$B,$M23)</f>
        <v>151.80000000000001</v>
      </c>
      <c r="T23" s="11">
        <f>(O23-O22)/O22*100</f>
        <v>0</v>
      </c>
      <c r="U23" s="11">
        <f t="shared" ref="U23:X38" si="13">(P23-P22)/P22*100</f>
        <v>0</v>
      </c>
      <c r="V23" s="11">
        <f t="shared" si="13"/>
        <v>0</v>
      </c>
      <c r="W23" s="11">
        <f t="shared" si="13"/>
        <v>0</v>
      </c>
      <c r="X23" s="11">
        <f t="shared" si="13"/>
        <v>0</v>
      </c>
    </row>
    <row r="24" spans="1:24">
      <c r="A24" s="13" t="s">
        <v>34</v>
      </c>
      <c r="B24" s="13">
        <v>2021</v>
      </c>
      <c r="C24" s="13" t="s">
        <v>35</v>
      </c>
      <c r="D24" s="13">
        <v>2039.3000000000002</v>
      </c>
      <c r="E24" s="13">
        <v>297.5</v>
      </c>
      <c r="F24" s="13">
        <v>161.30000000000001</v>
      </c>
      <c r="G24" s="13">
        <v>159.80000000000001</v>
      </c>
      <c r="H24" s="13">
        <v>156.6</v>
      </c>
      <c r="M24" s="5">
        <v>2020</v>
      </c>
      <c r="N24" s="5" t="s">
        <v>41</v>
      </c>
      <c r="O24" s="5">
        <f t="shared" si="8"/>
        <v>1995.1999999999998</v>
      </c>
      <c r="P24" s="5">
        <f t="shared" si="9"/>
        <v>281.5</v>
      </c>
      <c r="Q24" s="5">
        <f t="shared" si="10"/>
        <v>155</v>
      </c>
      <c r="R24" s="5">
        <f t="shared" si="11"/>
        <v>155.5</v>
      </c>
      <c r="S24" s="5">
        <f t="shared" si="12"/>
        <v>153.9</v>
      </c>
      <c r="T24" s="11">
        <f t="shared" ref="T24:T43" si="14">(O24-O23)/O23*100</f>
        <v>1.4439699003457207</v>
      </c>
      <c r="U24" s="11">
        <f t="shared" si="13"/>
        <v>1.6612495485735006</v>
      </c>
      <c r="V24" s="11">
        <f t="shared" si="13"/>
        <v>0.38860103626942638</v>
      </c>
      <c r="W24" s="11">
        <f t="shared" si="13"/>
        <v>0.51712992889464215</v>
      </c>
      <c r="X24" s="11">
        <f t="shared" si="13"/>
        <v>1.3833992094861622</v>
      </c>
    </row>
    <row r="25" spans="1:24">
      <c r="A25" s="13" t="s">
        <v>34</v>
      </c>
      <c r="B25" s="13">
        <v>2021</v>
      </c>
      <c r="C25" s="13" t="s">
        <v>36</v>
      </c>
      <c r="D25" s="13">
        <v>2039.3999999999999</v>
      </c>
      <c r="E25" s="13">
        <v>301.7</v>
      </c>
      <c r="F25" s="13">
        <v>161.69999999999999</v>
      </c>
      <c r="G25" s="13">
        <v>159.9</v>
      </c>
      <c r="H25" s="13">
        <v>156.80000000000001</v>
      </c>
      <c r="M25" s="5">
        <v>2020</v>
      </c>
      <c r="N25" s="5" t="s">
        <v>42</v>
      </c>
      <c r="O25" s="5">
        <f t="shared" si="8"/>
        <v>2007</v>
      </c>
      <c r="P25" s="5">
        <f t="shared" si="9"/>
        <v>282.5</v>
      </c>
      <c r="Q25" s="5">
        <f t="shared" si="10"/>
        <v>155.6</v>
      </c>
      <c r="R25" s="5">
        <f t="shared" si="11"/>
        <v>156.30000000000001</v>
      </c>
      <c r="S25" s="5">
        <f t="shared" si="12"/>
        <v>154.69999999999999</v>
      </c>
      <c r="T25" s="11">
        <f t="shared" si="14"/>
        <v>0.59141940657579106</v>
      </c>
      <c r="U25" s="11">
        <f t="shared" si="13"/>
        <v>0.35523978685612789</v>
      </c>
      <c r="V25" s="11">
        <f t="shared" si="13"/>
        <v>0.38709677419354471</v>
      </c>
      <c r="W25" s="11">
        <f t="shared" si="13"/>
        <v>0.51446945337621308</v>
      </c>
      <c r="X25" s="11">
        <f t="shared" si="13"/>
        <v>0.51981806367770167</v>
      </c>
    </row>
    <row r="26" spans="1:24">
      <c r="A26" s="13" t="s">
        <v>34</v>
      </c>
      <c r="B26" s="13">
        <v>2021</v>
      </c>
      <c r="C26" s="13" t="s">
        <v>37</v>
      </c>
      <c r="D26" s="13">
        <v>2064.1</v>
      </c>
      <c r="E26" s="13">
        <v>302.2</v>
      </c>
      <c r="F26" s="13">
        <v>162.30000000000001</v>
      </c>
      <c r="G26" s="13">
        <v>161.4</v>
      </c>
      <c r="H26" s="13">
        <v>157.80000000000001</v>
      </c>
      <c r="M26" s="5">
        <v>2020</v>
      </c>
      <c r="N26" s="5" t="s">
        <v>43</v>
      </c>
      <c r="O26" s="5">
        <f t="shared" si="8"/>
        <v>2048.6000000000004</v>
      </c>
      <c r="P26" s="5">
        <f t="shared" si="9"/>
        <v>283.7</v>
      </c>
      <c r="Q26" s="5">
        <f t="shared" si="10"/>
        <v>156.30000000000001</v>
      </c>
      <c r="R26" s="5">
        <f t="shared" si="11"/>
        <v>156.5</v>
      </c>
      <c r="S26" s="5">
        <f t="shared" si="12"/>
        <v>156.4</v>
      </c>
      <c r="T26" s="11">
        <f t="shared" si="14"/>
        <v>2.0727453911310598</v>
      </c>
      <c r="U26" s="11">
        <f t="shared" si="13"/>
        <v>0.42477876106194284</v>
      </c>
      <c r="V26" s="11">
        <f t="shared" si="13"/>
        <v>0.44987146529564076</v>
      </c>
      <c r="W26" s="11">
        <f t="shared" si="13"/>
        <v>0.12795905310299974</v>
      </c>
      <c r="X26" s="11">
        <f t="shared" si="13"/>
        <v>1.0989010989011101</v>
      </c>
    </row>
    <row r="27" spans="1:24">
      <c r="A27" s="13" t="s">
        <v>34</v>
      </c>
      <c r="B27" s="13">
        <v>2021</v>
      </c>
      <c r="C27" s="13" t="s">
        <v>38</v>
      </c>
      <c r="D27" s="13">
        <v>2105.7000000000003</v>
      </c>
      <c r="E27" s="13">
        <v>308.3</v>
      </c>
      <c r="F27" s="13">
        <v>165.8</v>
      </c>
      <c r="G27" s="13">
        <v>161.6</v>
      </c>
      <c r="H27" s="13">
        <v>160.4</v>
      </c>
      <c r="M27" s="5">
        <v>2020</v>
      </c>
      <c r="N27" s="5" t="s">
        <v>45</v>
      </c>
      <c r="O27" s="5">
        <f t="shared" si="8"/>
        <v>2095.6</v>
      </c>
      <c r="P27" s="5">
        <f t="shared" si="9"/>
        <v>284</v>
      </c>
      <c r="Q27" s="5">
        <f t="shared" si="10"/>
        <v>157.19999999999999</v>
      </c>
      <c r="R27" s="5">
        <f t="shared" si="11"/>
        <v>158</v>
      </c>
      <c r="S27" s="5">
        <f t="shared" si="12"/>
        <v>158.4</v>
      </c>
      <c r="T27" s="11">
        <f t="shared" si="14"/>
        <v>2.2942497315239447</v>
      </c>
      <c r="U27" s="11">
        <f t="shared" si="13"/>
        <v>0.10574550581600682</v>
      </c>
      <c r="V27" s="11">
        <f t="shared" si="13"/>
        <v>0.57581573896351712</v>
      </c>
      <c r="W27" s="11">
        <f t="shared" si="13"/>
        <v>0.95846645367412142</v>
      </c>
      <c r="X27" s="11">
        <f t="shared" si="13"/>
        <v>1.2787723785166241</v>
      </c>
    </row>
    <row r="28" spans="1:24">
      <c r="A28" s="13" t="s">
        <v>34</v>
      </c>
      <c r="B28" s="13">
        <v>2021</v>
      </c>
      <c r="C28" s="13" t="s">
        <v>39</v>
      </c>
      <c r="D28" s="13">
        <v>2133.9</v>
      </c>
      <c r="E28" s="13">
        <v>310.5</v>
      </c>
      <c r="F28" s="13">
        <v>166.3</v>
      </c>
      <c r="G28" s="13">
        <v>160.5</v>
      </c>
      <c r="H28" s="13">
        <v>161.30000000000001</v>
      </c>
      <c r="M28" s="5">
        <v>2020</v>
      </c>
      <c r="N28" s="5" t="s">
        <v>46</v>
      </c>
      <c r="O28" s="5">
        <f t="shared" si="8"/>
        <v>2109.1</v>
      </c>
      <c r="P28" s="5">
        <f t="shared" si="9"/>
        <v>285.29999999999995</v>
      </c>
      <c r="Q28" s="5">
        <f t="shared" si="10"/>
        <v>158.30000000000001</v>
      </c>
      <c r="R28" s="5">
        <f t="shared" si="11"/>
        <v>158.4</v>
      </c>
      <c r="S28" s="5">
        <f t="shared" si="12"/>
        <v>158.9</v>
      </c>
      <c r="T28" s="11">
        <f t="shared" si="14"/>
        <v>0.64420690971559469</v>
      </c>
      <c r="U28" s="11">
        <f t="shared" si="13"/>
        <v>0.45774647887322339</v>
      </c>
      <c r="V28" s="11">
        <f t="shared" si="13"/>
        <v>0.69974554707380587</v>
      </c>
      <c r="W28" s="11">
        <f t="shared" si="13"/>
        <v>0.25316455696202894</v>
      </c>
      <c r="X28" s="11">
        <f t="shared" si="13"/>
        <v>0.31565656565656564</v>
      </c>
    </row>
    <row r="29" spans="1:24">
      <c r="A29" s="13" t="s">
        <v>34</v>
      </c>
      <c r="B29" s="13">
        <v>2021</v>
      </c>
      <c r="C29" s="13" t="s">
        <v>40</v>
      </c>
      <c r="D29" s="13">
        <v>2147</v>
      </c>
      <c r="E29" s="13">
        <v>313.79999999999995</v>
      </c>
      <c r="F29" s="13">
        <v>167</v>
      </c>
      <c r="G29" s="13">
        <v>161.5</v>
      </c>
      <c r="H29" s="13">
        <v>162.5</v>
      </c>
      <c r="M29" s="5">
        <v>2021</v>
      </c>
      <c r="N29" s="5" t="s">
        <v>31</v>
      </c>
      <c r="O29" s="5">
        <f t="shared" si="8"/>
        <v>2076.5</v>
      </c>
      <c r="P29" s="5">
        <f t="shared" si="9"/>
        <v>289.8</v>
      </c>
      <c r="Q29" s="5">
        <f t="shared" si="10"/>
        <v>159.30000000000001</v>
      </c>
      <c r="R29" s="5">
        <f t="shared" si="11"/>
        <v>157.69999999999999</v>
      </c>
      <c r="S29" s="5">
        <f t="shared" si="12"/>
        <v>157.30000000000001</v>
      </c>
      <c r="T29" s="11">
        <f t="shared" si="14"/>
        <v>-1.5456829927457167</v>
      </c>
      <c r="U29" s="11">
        <f t="shared" si="13"/>
        <v>1.5772870662460767</v>
      </c>
      <c r="V29" s="11">
        <f t="shared" si="13"/>
        <v>0.63171193935565373</v>
      </c>
      <c r="W29" s="11">
        <f t="shared" si="13"/>
        <v>-0.44191919191920265</v>
      </c>
      <c r="X29" s="11">
        <f t="shared" si="13"/>
        <v>-1.0069225928256729</v>
      </c>
    </row>
    <row r="30" spans="1:24">
      <c r="A30" s="13" t="s">
        <v>34</v>
      </c>
      <c r="B30" s="13">
        <v>2021</v>
      </c>
      <c r="C30" s="13" t="s">
        <v>41</v>
      </c>
      <c r="D30" s="13">
        <v>2142</v>
      </c>
      <c r="E30" s="13">
        <v>316.60000000000002</v>
      </c>
      <c r="F30" s="13">
        <v>168.4</v>
      </c>
      <c r="G30" s="13">
        <v>162.1</v>
      </c>
      <c r="H30" s="13">
        <v>163.19999999999999</v>
      </c>
      <c r="M30" s="5">
        <v>2021</v>
      </c>
      <c r="N30" s="5" t="s">
        <v>35</v>
      </c>
      <c r="O30" s="5">
        <f t="shared" si="8"/>
        <v>2039.3000000000002</v>
      </c>
      <c r="P30" s="5">
        <f t="shared" si="9"/>
        <v>297.5</v>
      </c>
      <c r="Q30" s="5">
        <f t="shared" si="10"/>
        <v>161.30000000000001</v>
      </c>
      <c r="R30" s="5">
        <f t="shared" si="11"/>
        <v>159.80000000000001</v>
      </c>
      <c r="S30" s="5">
        <f t="shared" si="12"/>
        <v>156.6</v>
      </c>
      <c r="T30" s="11">
        <f t="shared" si="14"/>
        <v>-1.7914760414158353</v>
      </c>
      <c r="U30" s="11">
        <f t="shared" si="13"/>
        <v>2.6570048309178702</v>
      </c>
      <c r="V30" s="11">
        <f t="shared" si="13"/>
        <v>1.2554927809165097</v>
      </c>
      <c r="W30" s="11">
        <f t="shared" si="13"/>
        <v>1.331642358909336</v>
      </c>
      <c r="X30" s="11">
        <f t="shared" si="13"/>
        <v>-0.44500953591863762</v>
      </c>
    </row>
    <row r="31" spans="1:24">
      <c r="A31" s="13" t="s">
        <v>34</v>
      </c>
      <c r="B31" s="13">
        <v>2021</v>
      </c>
      <c r="C31" s="13" t="s">
        <v>42</v>
      </c>
      <c r="D31" s="13">
        <v>2142</v>
      </c>
      <c r="E31" s="13">
        <v>316.60000000000002</v>
      </c>
      <c r="F31" s="13">
        <v>168.4</v>
      </c>
      <c r="G31" s="13">
        <v>162.1</v>
      </c>
      <c r="H31" s="13">
        <v>163.19999999999999</v>
      </c>
      <c r="M31" s="5">
        <v>2021</v>
      </c>
      <c r="N31" s="5" t="s">
        <v>36</v>
      </c>
      <c r="O31" s="5">
        <f t="shared" si="8"/>
        <v>2039.3999999999999</v>
      </c>
      <c r="P31" s="5">
        <f t="shared" si="9"/>
        <v>301.7</v>
      </c>
      <c r="Q31" s="5">
        <f t="shared" si="10"/>
        <v>161.69999999999999</v>
      </c>
      <c r="R31" s="5">
        <f t="shared" si="11"/>
        <v>159.9</v>
      </c>
      <c r="S31" s="5">
        <f t="shared" si="12"/>
        <v>156.80000000000001</v>
      </c>
      <c r="T31" s="11">
        <f t="shared" si="14"/>
        <v>4.9036434070358296E-3</v>
      </c>
      <c r="U31" s="11">
        <f t="shared" si="13"/>
        <v>1.4117647058823493</v>
      </c>
      <c r="V31" s="11">
        <f t="shared" si="13"/>
        <v>0.24798512089273234</v>
      </c>
      <c r="W31" s="11">
        <f t="shared" si="13"/>
        <v>6.2578222778469528E-2</v>
      </c>
      <c r="X31" s="11">
        <f t="shared" si="13"/>
        <v>0.12771392081737998</v>
      </c>
    </row>
    <row r="32" spans="1:24">
      <c r="A32" s="13" t="s">
        <v>34</v>
      </c>
      <c r="B32" s="13">
        <v>2021</v>
      </c>
      <c r="C32" s="13" t="s">
        <v>43</v>
      </c>
      <c r="D32" s="13">
        <v>2175.5</v>
      </c>
      <c r="E32" s="13">
        <v>319.89999999999998</v>
      </c>
      <c r="F32" s="13">
        <v>169.1</v>
      </c>
      <c r="G32" s="13">
        <v>163.6</v>
      </c>
      <c r="H32" s="13">
        <v>165.5</v>
      </c>
      <c r="M32" s="5">
        <v>2021</v>
      </c>
      <c r="N32" s="5" t="s">
        <v>37</v>
      </c>
      <c r="O32" s="5">
        <f t="shared" si="8"/>
        <v>2064.1</v>
      </c>
      <c r="P32" s="5">
        <f t="shared" si="9"/>
        <v>302.2</v>
      </c>
      <c r="Q32" s="5">
        <f t="shared" si="10"/>
        <v>162.30000000000001</v>
      </c>
      <c r="R32" s="5">
        <f t="shared" si="11"/>
        <v>161.4</v>
      </c>
      <c r="S32" s="5">
        <f t="shared" si="12"/>
        <v>157.80000000000001</v>
      </c>
      <c r="T32" s="11">
        <f t="shared" si="14"/>
        <v>1.2111405315288835</v>
      </c>
      <c r="U32" s="11">
        <f t="shared" si="13"/>
        <v>0.16572754391779915</v>
      </c>
      <c r="V32" s="11">
        <f t="shared" si="13"/>
        <v>0.3710575139146709</v>
      </c>
      <c r="W32" s="11">
        <f t="shared" si="13"/>
        <v>0.9380863039399624</v>
      </c>
      <c r="X32" s="11">
        <f t="shared" si="13"/>
        <v>0.6377551020408162</v>
      </c>
    </row>
    <row r="33" spans="1:24">
      <c r="A33" s="13" t="s">
        <v>34</v>
      </c>
      <c r="B33" s="13">
        <v>2021</v>
      </c>
      <c r="C33" s="13" t="s">
        <v>45</v>
      </c>
      <c r="D33" s="13">
        <v>2194.1</v>
      </c>
      <c r="E33" s="13">
        <v>318.70000000000005</v>
      </c>
      <c r="F33" s="13">
        <v>169.9</v>
      </c>
      <c r="G33" s="13">
        <v>164.2</v>
      </c>
      <c r="H33" s="13">
        <v>166.7</v>
      </c>
      <c r="M33" s="5">
        <v>2021</v>
      </c>
      <c r="N33" s="5" t="s">
        <v>38</v>
      </c>
      <c r="O33" s="5">
        <f t="shared" si="8"/>
        <v>2105.7000000000003</v>
      </c>
      <c r="P33" s="5">
        <f t="shared" si="9"/>
        <v>308.3</v>
      </c>
      <c r="Q33" s="5">
        <f t="shared" si="10"/>
        <v>165.8</v>
      </c>
      <c r="R33" s="5">
        <f t="shared" si="11"/>
        <v>161.6</v>
      </c>
      <c r="S33" s="5">
        <f t="shared" si="12"/>
        <v>160.4</v>
      </c>
      <c r="T33" s="11">
        <f t="shared" si="14"/>
        <v>2.0154062303183164</v>
      </c>
      <c r="U33" s="11">
        <f t="shared" si="13"/>
        <v>2.0185307743216487</v>
      </c>
      <c r="V33" s="11">
        <f t="shared" si="13"/>
        <v>2.1565003080714726</v>
      </c>
      <c r="W33" s="11">
        <f t="shared" si="13"/>
        <v>0.12391573729862988</v>
      </c>
      <c r="X33" s="11">
        <f t="shared" si="13"/>
        <v>1.6476552598225565</v>
      </c>
    </row>
    <row r="34" spans="1:24">
      <c r="A34" s="13" t="s">
        <v>34</v>
      </c>
      <c r="B34" s="13">
        <v>2021</v>
      </c>
      <c r="C34" s="13" t="s">
        <v>46</v>
      </c>
      <c r="D34" s="13">
        <v>2180.9</v>
      </c>
      <c r="E34" s="13">
        <v>319.79999999999995</v>
      </c>
      <c r="F34" s="13">
        <v>170.6</v>
      </c>
      <c r="G34" s="13">
        <v>163.4</v>
      </c>
      <c r="H34" s="13">
        <v>166.2</v>
      </c>
      <c r="M34" s="5">
        <v>2021</v>
      </c>
      <c r="N34" s="5" t="s">
        <v>39</v>
      </c>
      <c r="O34" s="5">
        <f t="shared" si="8"/>
        <v>2133.9</v>
      </c>
      <c r="P34" s="5">
        <f t="shared" si="9"/>
        <v>310.5</v>
      </c>
      <c r="Q34" s="5">
        <f t="shared" si="10"/>
        <v>166.3</v>
      </c>
      <c r="R34" s="5">
        <f t="shared" si="11"/>
        <v>160.5</v>
      </c>
      <c r="S34" s="5">
        <f t="shared" si="12"/>
        <v>161.30000000000001</v>
      </c>
      <c r="T34" s="11">
        <f t="shared" si="14"/>
        <v>1.3392221114118732</v>
      </c>
      <c r="U34" s="11">
        <f t="shared" si="13"/>
        <v>0.71359065844955838</v>
      </c>
      <c r="V34" s="11">
        <f t="shared" si="13"/>
        <v>0.30156815440289503</v>
      </c>
      <c r="W34" s="11">
        <f t="shared" si="13"/>
        <v>-0.68069306930692719</v>
      </c>
      <c r="X34" s="11">
        <f t="shared" si="13"/>
        <v>0.56109725685785894</v>
      </c>
    </row>
    <row r="35" spans="1:24">
      <c r="A35" s="13" t="s">
        <v>34</v>
      </c>
      <c r="B35" s="13">
        <v>2022</v>
      </c>
      <c r="C35" s="13" t="s">
        <v>31</v>
      </c>
      <c r="D35" s="13">
        <v>2164.1999999999998</v>
      </c>
      <c r="E35" s="13">
        <v>320.7</v>
      </c>
      <c r="F35" s="13">
        <v>171.4</v>
      </c>
      <c r="G35" s="13">
        <v>164.5</v>
      </c>
      <c r="H35" s="13">
        <v>165.7</v>
      </c>
      <c r="M35" s="5">
        <v>2021</v>
      </c>
      <c r="N35" s="5" t="s">
        <v>40</v>
      </c>
      <c r="O35" s="5">
        <f t="shared" si="8"/>
        <v>2147</v>
      </c>
      <c r="P35" s="5">
        <f t="shared" si="9"/>
        <v>313.79999999999995</v>
      </c>
      <c r="Q35" s="5">
        <f t="shared" si="10"/>
        <v>167</v>
      </c>
      <c r="R35" s="5">
        <f t="shared" si="11"/>
        <v>161.5</v>
      </c>
      <c r="S35" s="5">
        <f t="shared" si="12"/>
        <v>162.5</v>
      </c>
      <c r="T35" s="11">
        <f t="shared" si="14"/>
        <v>0.61389943296311489</v>
      </c>
      <c r="U35" s="11">
        <f t="shared" si="13"/>
        <v>1.0628019323671352</v>
      </c>
      <c r="V35" s="11">
        <f t="shared" si="13"/>
        <v>0.42092603728201361</v>
      </c>
      <c r="W35" s="11">
        <f t="shared" si="13"/>
        <v>0.62305295950155759</v>
      </c>
      <c r="X35" s="11">
        <f t="shared" si="13"/>
        <v>0.74395536267823226</v>
      </c>
    </row>
    <row r="36" spans="1:24">
      <c r="A36" s="13" t="s">
        <v>34</v>
      </c>
      <c r="B36" s="13">
        <v>2022</v>
      </c>
      <c r="C36" s="13" t="s">
        <v>35</v>
      </c>
      <c r="D36" s="13">
        <v>2161.2000000000003</v>
      </c>
      <c r="E36" s="13">
        <v>322.60000000000002</v>
      </c>
      <c r="F36" s="13">
        <v>172.2</v>
      </c>
      <c r="G36" s="13">
        <v>165.5</v>
      </c>
      <c r="H36" s="13">
        <v>166.1</v>
      </c>
      <c r="M36" s="5">
        <v>2021</v>
      </c>
      <c r="N36" s="5" t="s">
        <v>41</v>
      </c>
      <c r="O36" s="5">
        <f t="shared" si="8"/>
        <v>2142</v>
      </c>
      <c r="P36" s="5">
        <f t="shared" si="9"/>
        <v>316.60000000000002</v>
      </c>
      <c r="Q36" s="5">
        <f t="shared" si="10"/>
        <v>168.4</v>
      </c>
      <c r="R36" s="5">
        <f t="shared" si="11"/>
        <v>162.1</v>
      </c>
      <c r="S36" s="5">
        <f t="shared" si="12"/>
        <v>163.19999999999999</v>
      </c>
      <c r="T36" s="11">
        <f t="shared" si="14"/>
        <v>-0.2328830926874709</v>
      </c>
      <c r="U36" s="11">
        <f t="shared" si="13"/>
        <v>0.89228808158064654</v>
      </c>
      <c r="V36" s="11">
        <f t="shared" si="13"/>
        <v>0.83832335329341656</v>
      </c>
      <c r="W36" s="11">
        <f t="shared" si="13"/>
        <v>0.37151702786377355</v>
      </c>
      <c r="X36" s="11">
        <f t="shared" si="13"/>
        <v>0.4307692307692238</v>
      </c>
    </row>
    <row r="37" spans="1:24">
      <c r="A37" s="13" t="s">
        <v>34</v>
      </c>
      <c r="B37" s="13">
        <v>2022</v>
      </c>
      <c r="C37" s="13" t="s">
        <v>36</v>
      </c>
      <c r="D37" s="13">
        <v>2184.2000000000003</v>
      </c>
      <c r="E37" s="13">
        <v>325.10000000000002</v>
      </c>
      <c r="F37" s="13">
        <v>173</v>
      </c>
      <c r="G37" s="13">
        <v>165.3</v>
      </c>
      <c r="H37" s="13">
        <v>167.7</v>
      </c>
      <c r="M37" s="5">
        <v>2021</v>
      </c>
      <c r="N37" s="5" t="s">
        <v>42</v>
      </c>
      <c r="O37" s="5">
        <f t="shared" si="8"/>
        <v>2142</v>
      </c>
      <c r="P37" s="5">
        <f t="shared" si="9"/>
        <v>316.60000000000002</v>
      </c>
      <c r="Q37" s="5">
        <f t="shared" si="10"/>
        <v>168.4</v>
      </c>
      <c r="R37" s="5">
        <f t="shared" si="11"/>
        <v>162.1</v>
      </c>
      <c r="S37" s="5">
        <f t="shared" si="12"/>
        <v>163.19999999999999</v>
      </c>
      <c r="T37" s="11">
        <f t="shared" si="14"/>
        <v>0</v>
      </c>
      <c r="U37" s="11">
        <f t="shared" si="13"/>
        <v>0</v>
      </c>
      <c r="V37" s="11">
        <f t="shared" si="13"/>
        <v>0</v>
      </c>
      <c r="W37" s="11">
        <f t="shared" si="13"/>
        <v>0</v>
      </c>
      <c r="X37" s="11">
        <f t="shared" si="13"/>
        <v>0</v>
      </c>
    </row>
    <row r="38" spans="1:24">
      <c r="M38" s="5">
        <v>2021</v>
      </c>
      <c r="N38" s="5" t="s">
        <v>43</v>
      </c>
      <c r="O38" s="5">
        <f t="shared" si="8"/>
        <v>2175.5</v>
      </c>
      <c r="P38" s="5">
        <f t="shared" ref="P38:P43" si="15">SUMIFS(E:E,$C:$C,$N38,$B:$B,$M38)</f>
        <v>319.89999999999998</v>
      </c>
      <c r="Q38" s="5">
        <f t="shared" ref="Q38:Q43" si="16">SUMIFS(F:F,$C:$C,$N38,$B:$B,$M38)</f>
        <v>169.1</v>
      </c>
      <c r="R38" s="5">
        <f t="shared" ref="R38:R43" si="17">SUMIFS(G:G,$C:$C,$N38,$B:$B,$M38)</f>
        <v>163.6</v>
      </c>
      <c r="S38" s="5">
        <f t="shared" ref="S38:S43" si="18">SUMIFS(H:H,$C:$C,$N38,$B:$B,$M38)</f>
        <v>165.5</v>
      </c>
      <c r="T38" s="11">
        <f t="shared" si="14"/>
        <v>1.5639589169000934</v>
      </c>
      <c r="U38" s="11">
        <f t="shared" si="13"/>
        <v>1.0423246999368145</v>
      </c>
      <c r="V38" s="11">
        <f t="shared" si="13"/>
        <v>0.41567695961994572</v>
      </c>
      <c r="W38" s="11">
        <f t="shared" si="13"/>
        <v>0.92535471930906854</v>
      </c>
      <c r="X38" s="11">
        <f t="shared" si="13"/>
        <v>1.4093137254902033</v>
      </c>
    </row>
    <row r="39" spans="1:24">
      <c r="M39" s="5">
        <v>2021</v>
      </c>
      <c r="N39" s="5" t="s">
        <v>45</v>
      </c>
      <c r="O39" s="5">
        <f t="shared" si="8"/>
        <v>2194.1</v>
      </c>
      <c r="P39" s="5">
        <f t="shared" si="15"/>
        <v>318.70000000000005</v>
      </c>
      <c r="Q39" s="5">
        <f t="shared" si="16"/>
        <v>169.9</v>
      </c>
      <c r="R39" s="5">
        <f t="shared" si="17"/>
        <v>164.2</v>
      </c>
      <c r="S39" s="5">
        <f t="shared" si="18"/>
        <v>166.7</v>
      </c>
      <c r="T39" s="11">
        <f t="shared" si="14"/>
        <v>0.85497586761663569</v>
      </c>
      <c r="U39" s="11">
        <f t="shared" ref="U39:U43" si="19">(P39-P38)/P38*100</f>
        <v>-0.37511722413252013</v>
      </c>
      <c r="V39" s="11">
        <f t="shared" ref="V39:V43" si="20">(Q39-Q38)/Q38*100</f>
        <v>0.47309284447073408</v>
      </c>
      <c r="W39" s="11">
        <f t="shared" ref="W39:W43" si="21">(R39-R38)/R38*100</f>
        <v>0.36674816625916523</v>
      </c>
      <c r="X39" s="11">
        <f t="shared" ref="X39:X43" si="22">(S39-S38)/S38*100</f>
        <v>0.72507552870089953</v>
      </c>
    </row>
    <row r="40" spans="1:24">
      <c r="M40" s="5">
        <v>2021</v>
      </c>
      <c r="N40" s="5" t="s">
        <v>46</v>
      </c>
      <c r="O40" s="5">
        <f t="shared" si="8"/>
        <v>2180.9</v>
      </c>
      <c r="P40" s="5">
        <f t="shared" si="15"/>
        <v>319.79999999999995</v>
      </c>
      <c r="Q40" s="5">
        <f t="shared" si="16"/>
        <v>170.6</v>
      </c>
      <c r="R40" s="5">
        <f t="shared" si="17"/>
        <v>163.4</v>
      </c>
      <c r="S40" s="5">
        <f t="shared" si="18"/>
        <v>166.2</v>
      </c>
      <c r="T40" s="11">
        <f t="shared" si="14"/>
        <v>-0.60161341780227973</v>
      </c>
      <c r="U40" s="11">
        <f t="shared" si="19"/>
        <v>0.34515218073420423</v>
      </c>
      <c r="V40" s="11">
        <f t="shared" si="20"/>
        <v>0.41200706297821577</v>
      </c>
      <c r="W40" s="11">
        <f t="shared" si="21"/>
        <v>-0.48721071863579962</v>
      </c>
      <c r="X40" s="11">
        <f t="shared" si="22"/>
        <v>-0.29994001199760051</v>
      </c>
    </row>
    <row r="41" spans="1:24">
      <c r="M41" s="5">
        <v>2022</v>
      </c>
      <c r="N41" s="5" t="s">
        <v>31</v>
      </c>
      <c r="O41" s="5">
        <f t="shared" si="8"/>
        <v>2164.1999999999998</v>
      </c>
      <c r="P41" s="5">
        <f t="shared" si="15"/>
        <v>320.7</v>
      </c>
      <c r="Q41" s="5">
        <f t="shared" si="16"/>
        <v>171.4</v>
      </c>
      <c r="R41" s="5">
        <f t="shared" si="17"/>
        <v>164.5</v>
      </c>
      <c r="S41" s="5">
        <f t="shared" si="18"/>
        <v>165.7</v>
      </c>
      <c r="T41" s="11">
        <f t="shared" si="14"/>
        <v>-0.76573891512679504</v>
      </c>
      <c r="U41" s="11">
        <f t="shared" si="19"/>
        <v>0.28142589118199945</v>
      </c>
      <c r="V41" s="11">
        <f t="shared" si="20"/>
        <v>0.46893317702228099</v>
      </c>
      <c r="W41" s="11">
        <f t="shared" si="21"/>
        <v>0.67319461444308093</v>
      </c>
      <c r="X41" s="11">
        <f t="shared" si="22"/>
        <v>-0.30084235860409148</v>
      </c>
    </row>
    <row r="42" spans="1:24">
      <c r="M42" s="5">
        <v>2022</v>
      </c>
      <c r="N42" s="5" t="s">
        <v>35</v>
      </c>
      <c r="O42" s="5">
        <f t="shared" si="8"/>
        <v>2161.2000000000003</v>
      </c>
      <c r="P42" s="5">
        <f t="shared" si="15"/>
        <v>322.60000000000002</v>
      </c>
      <c r="Q42" s="5">
        <f t="shared" si="16"/>
        <v>172.2</v>
      </c>
      <c r="R42" s="5">
        <f t="shared" si="17"/>
        <v>165.5</v>
      </c>
      <c r="S42" s="5">
        <f t="shared" si="18"/>
        <v>166.1</v>
      </c>
      <c r="T42" s="11">
        <f t="shared" si="14"/>
        <v>-0.13861935126141509</v>
      </c>
      <c r="U42" s="11">
        <f t="shared" si="19"/>
        <v>0.59245400686000438</v>
      </c>
      <c r="V42" s="11">
        <f t="shared" si="20"/>
        <v>0.46674445740955833</v>
      </c>
      <c r="W42" s="11">
        <f t="shared" si="21"/>
        <v>0.60790273556231</v>
      </c>
      <c r="X42" s="11">
        <f t="shared" si="22"/>
        <v>0.24140012070006378</v>
      </c>
    </row>
    <row r="43" spans="1:24">
      <c r="M43" s="5">
        <v>2022</v>
      </c>
      <c r="N43" s="5" t="s">
        <v>36</v>
      </c>
      <c r="O43" s="5">
        <f t="shared" si="8"/>
        <v>2184.2000000000003</v>
      </c>
      <c r="P43" s="5">
        <f t="shared" si="15"/>
        <v>325.10000000000002</v>
      </c>
      <c r="Q43" s="5">
        <f t="shared" si="16"/>
        <v>173</v>
      </c>
      <c r="R43" s="5">
        <f t="shared" si="17"/>
        <v>165.3</v>
      </c>
      <c r="S43" s="5">
        <f t="shared" si="18"/>
        <v>167.7</v>
      </c>
      <c r="T43" s="11">
        <f t="shared" si="14"/>
        <v>1.0642235794928743</v>
      </c>
      <c r="U43" s="11">
        <f t="shared" si="19"/>
        <v>0.77495350278983255</v>
      </c>
      <c r="V43" s="11">
        <f t="shared" si="20"/>
        <v>0.46457607433217851</v>
      </c>
      <c r="W43" s="11">
        <f t="shared" si="21"/>
        <v>-0.12084592145014418</v>
      </c>
      <c r="X43" s="11">
        <f t="shared" si="22"/>
        <v>0.96327513546056243</v>
      </c>
    </row>
    <row r="44" spans="1:24"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>
      <c r="M45" s="68" t="s">
        <v>71</v>
      </c>
      <c r="N45" s="69"/>
      <c r="O45" s="54">
        <f>AVERAGE(O22:O43)</f>
        <v>2097.2318181818177</v>
      </c>
      <c r="P45" s="54">
        <f t="shared" ref="P45:X45" si="23">AVERAGE(P22:P43)</f>
        <v>302.4818181818182</v>
      </c>
      <c r="Q45" s="54">
        <f t="shared" si="23"/>
        <v>163.54090909090908</v>
      </c>
      <c r="R45" s="54">
        <f t="shared" si="23"/>
        <v>160.32727272727271</v>
      </c>
      <c r="S45" s="54">
        <f t="shared" si="23"/>
        <v>160.13181818181812</v>
      </c>
      <c r="T45" s="40">
        <f t="shared" si="23"/>
        <v>0.50658608770911551</v>
      </c>
      <c r="U45" s="40">
        <f t="shared" si="23"/>
        <v>0.76975946343972468</v>
      </c>
      <c r="V45" s="40">
        <f t="shared" si="23"/>
        <v>0.54408220694086729</v>
      </c>
      <c r="W45" s="40">
        <f t="shared" si="23"/>
        <v>0.31735778050301355</v>
      </c>
      <c r="X45" s="40">
        <f t="shared" si="23"/>
        <v>0.47770683143952186</v>
      </c>
    </row>
  </sheetData>
  <mergeCells count="4">
    <mergeCell ref="M15:N15"/>
    <mergeCell ref="M45:N45"/>
    <mergeCell ref="Z2:AA2"/>
    <mergeCell ref="Z10:AA10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DE1F-E401-418C-9CD2-D665386E1E16}">
  <dimension ref="A1:AP30"/>
  <sheetViews>
    <sheetView workbookViewId="0">
      <selection activeCell="G3" sqref="G3"/>
    </sheetView>
  </sheetViews>
  <sheetFormatPr defaultRowHeight="14.4"/>
  <cols>
    <col min="7" max="7" width="11.77734375" bestFit="1" customWidth="1"/>
    <col min="9" max="9" width="9.21875" bestFit="1" customWidth="1"/>
    <col min="10" max="10" width="13.109375" bestFit="1" customWidth="1"/>
    <col min="18" max="18" width="6.5546875" customWidth="1"/>
    <col min="27" max="27" width="12" bestFit="1" customWidth="1"/>
    <col min="28" max="28" width="12.44140625" bestFit="1" customWidth="1"/>
    <col min="29" max="29" width="11.88671875" bestFit="1" customWidth="1"/>
    <col min="30" max="30" width="8.109375" bestFit="1" customWidth="1"/>
    <col min="32" max="32" width="12.88671875" bestFit="1" customWidth="1"/>
  </cols>
  <sheetData>
    <row r="1" spans="1:42">
      <c r="A1" s="59" t="s">
        <v>0</v>
      </c>
      <c r="B1" s="60" t="s">
        <v>1</v>
      </c>
      <c r="C1" s="60" t="s">
        <v>2</v>
      </c>
      <c r="D1" s="60" t="s">
        <v>21</v>
      </c>
      <c r="E1" s="60" t="s">
        <v>29</v>
      </c>
      <c r="F1" s="60" t="s">
        <v>50</v>
      </c>
      <c r="G1" s="60" t="s">
        <v>76</v>
      </c>
      <c r="H1" s="60" t="s">
        <v>113</v>
      </c>
      <c r="I1" s="60" t="s">
        <v>77</v>
      </c>
      <c r="J1" s="60" t="s">
        <v>78</v>
      </c>
      <c r="K1" s="60" t="s">
        <v>79</v>
      </c>
      <c r="L1" s="61" t="s">
        <v>115</v>
      </c>
      <c r="M1" s="49" t="s">
        <v>114</v>
      </c>
      <c r="Z1" s="48" t="s">
        <v>2</v>
      </c>
      <c r="AA1" s="48" t="s">
        <v>21</v>
      </c>
      <c r="AB1" s="48" t="s">
        <v>29</v>
      </c>
      <c r="AC1" s="48" t="s">
        <v>76</v>
      </c>
      <c r="AD1" s="48" t="s">
        <v>77</v>
      </c>
      <c r="AE1" s="48" t="s">
        <v>78</v>
      </c>
      <c r="AF1" s="48" t="s">
        <v>79</v>
      </c>
    </row>
    <row r="2" spans="1:42">
      <c r="A2" s="5" t="s">
        <v>34</v>
      </c>
      <c r="B2" s="5">
        <v>2021</v>
      </c>
      <c r="C2" s="5" t="s">
        <v>31</v>
      </c>
      <c r="D2" s="5">
        <v>147.9</v>
      </c>
      <c r="E2" s="5">
        <v>157.30000000000001</v>
      </c>
      <c r="F2" s="5">
        <v>141.9</v>
      </c>
      <c r="G2" s="5"/>
      <c r="H2" s="5"/>
      <c r="I2" s="5"/>
      <c r="J2" s="57">
        <f>D2/E2*100</f>
        <v>94.024157660521297</v>
      </c>
      <c r="K2" s="5"/>
      <c r="L2" s="57">
        <f>F2/E2*100</f>
        <v>90.209790209790214</v>
      </c>
      <c r="M2" s="57"/>
      <c r="Y2" s="5">
        <v>2021</v>
      </c>
      <c r="Z2" s="5" t="s">
        <v>31</v>
      </c>
      <c r="AA2" s="5">
        <f t="shared" ref="AA2:AA13" si="0">SUMIFS(D:D,$C:$C,$Z2,$B:$B,$Y$2)</f>
        <v>147.9</v>
      </c>
      <c r="AB2" s="5">
        <f t="shared" ref="AB2:AB13" si="1">SUMIFS(E:E,$C:$C,$Z2,$B:$B,$Y$2)</f>
        <v>157.30000000000001</v>
      </c>
      <c r="AC2" s="5">
        <f t="shared" ref="AC2:AC13" si="2">SUMIFS(F:F,$C:$C,$Z2,$B:$B,$Y$2)</f>
        <v>141.9</v>
      </c>
      <c r="AD2" s="5">
        <f t="shared" ref="AD2:AD13" si="3">SUMIFS(G:G,$C:$C,$Z2,$B:$B,$Y$2)</f>
        <v>0</v>
      </c>
      <c r="AE2" s="57">
        <f t="shared" ref="AE2:AE13" si="4">SUMIFS(I:I,$C:$C,$Z2,$B:$B,$Y$2)</f>
        <v>0</v>
      </c>
      <c r="AF2" s="57">
        <f t="shared" ref="AF2:AF13" si="5">SUMIFS(J:J,$C:$C,$Z2,$B:$B,$Y$2)</f>
        <v>94.024157660521297</v>
      </c>
      <c r="AJ2" s="48" t="s">
        <v>2</v>
      </c>
      <c r="AK2" s="48" t="s">
        <v>21</v>
      </c>
      <c r="AL2" s="48" t="s">
        <v>29</v>
      </c>
      <c r="AM2" s="48" t="s">
        <v>76</v>
      </c>
      <c r="AN2" s="48" t="s">
        <v>77</v>
      </c>
      <c r="AO2" s="48" t="s">
        <v>78</v>
      </c>
      <c r="AP2" s="48" t="s">
        <v>79</v>
      </c>
    </row>
    <row r="3" spans="1:42">
      <c r="A3" s="5" t="s">
        <v>34</v>
      </c>
      <c r="B3" s="5">
        <v>2021</v>
      </c>
      <c r="C3" s="5" t="s">
        <v>35</v>
      </c>
      <c r="D3" s="5">
        <v>152.4</v>
      </c>
      <c r="E3" s="5">
        <v>156.6</v>
      </c>
      <c r="F3" s="5">
        <v>145.1</v>
      </c>
      <c r="G3" s="11">
        <f>(D3-D2)/D2*100</f>
        <v>3.0425963488843815</v>
      </c>
      <c r="H3" s="11">
        <f>(F3-F2)/F2*100</f>
        <v>2.2551092318534098</v>
      </c>
      <c r="I3" s="11">
        <f>(E3-E2)/E2*100</f>
        <v>-0.44500953591863762</v>
      </c>
      <c r="J3" s="57">
        <f t="shared" ref="J3:J30" si="6">D3/E3*100</f>
        <v>97.318007662835257</v>
      </c>
      <c r="K3" s="57">
        <f>(J3-J2)/J2*100</f>
        <v>3.503195438566503</v>
      </c>
      <c r="L3" s="57">
        <f t="shared" ref="L3:L30" si="7">F3/E3*100</f>
        <v>92.656449553001281</v>
      </c>
      <c r="M3" s="57">
        <f>(L3-L2)/L2*100</f>
        <v>2.7121882641797099</v>
      </c>
      <c r="Z3" s="5" t="s">
        <v>35</v>
      </c>
      <c r="AA3" s="5">
        <f t="shared" si="0"/>
        <v>152.4</v>
      </c>
      <c r="AB3" s="5">
        <f t="shared" si="1"/>
        <v>156.6</v>
      </c>
      <c r="AC3" s="11">
        <f t="shared" si="2"/>
        <v>145.1</v>
      </c>
      <c r="AD3" s="11">
        <f t="shared" si="3"/>
        <v>3.0425963488843815</v>
      </c>
      <c r="AE3" s="57">
        <f t="shared" si="4"/>
        <v>-0.44500953591863762</v>
      </c>
      <c r="AF3" s="57">
        <f t="shared" si="5"/>
        <v>97.318007662835257</v>
      </c>
      <c r="AI3" s="5">
        <v>2023</v>
      </c>
      <c r="AJ3" s="5" t="s">
        <v>31</v>
      </c>
      <c r="AK3" s="5">
        <f t="shared" ref="AK3:AK14" si="8">SUMIFS(D:D,$C:$C,$AJ3,$B:$B,$AI$3)</f>
        <v>182</v>
      </c>
      <c r="AL3" s="5">
        <f t="shared" ref="AL3:AL14" si="9">SUMIFS(E:E,$C:$C,$AJ3,$B:$B,$AI$3)</f>
        <v>176.5</v>
      </c>
      <c r="AM3" s="11">
        <f t="shared" ref="AM3:AM14" si="10">SUMIFS(F:F,$C:$C,$AJ3,$B:$B,$AI$3)</f>
        <v>163.6</v>
      </c>
      <c r="AN3" s="11">
        <f t="shared" ref="AN3:AN14" si="11">SUMIFS(G:G,$C:$C,$AJ3,$B:$B,$AI$3)</f>
        <v>0</v>
      </c>
      <c r="AO3" s="57">
        <f t="shared" ref="AO3:AO14" si="12">SUMIFS(I:I,$C:$C,$AJ3,$B:$B,$AI$3)</f>
        <v>0.45532157085942598</v>
      </c>
      <c r="AP3" s="57">
        <f t="shared" ref="AP3:AP14" si="13">SUMIFS(J:J,$C:$C,$AJ3,$B:$B,$AI$3)</f>
        <v>103.11614730878188</v>
      </c>
    </row>
    <row r="4" spans="1:42">
      <c r="A4" s="5" t="s">
        <v>34</v>
      </c>
      <c r="B4" s="5">
        <v>2021</v>
      </c>
      <c r="C4" s="5" t="s">
        <v>36</v>
      </c>
      <c r="D4" s="5">
        <v>155.5</v>
      </c>
      <c r="E4" s="5">
        <v>156.80000000000001</v>
      </c>
      <c r="F4" s="5">
        <v>146.19999999999999</v>
      </c>
      <c r="G4" s="11">
        <f t="shared" ref="G4:G30" si="14">(D4-D3)/D3*100</f>
        <v>2.0341207349081327</v>
      </c>
      <c r="H4" s="11">
        <f t="shared" ref="H4:H30" si="15">(F4-F3)/F3*100</f>
        <v>0.75809786354238073</v>
      </c>
      <c r="I4" s="11">
        <f t="shared" ref="I4:I30" si="16">(E4-E3)/E3*100</f>
        <v>0.12771392081737998</v>
      </c>
      <c r="J4" s="57">
        <f t="shared" si="6"/>
        <v>99.170918367346928</v>
      </c>
      <c r="K4" s="57">
        <f t="shared" ref="K4:K30" si="17">(J4-J3)/J3*100</f>
        <v>1.9039751727462453</v>
      </c>
      <c r="L4" s="57">
        <f t="shared" si="7"/>
        <v>93.239795918367335</v>
      </c>
      <c r="M4" s="57">
        <f t="shared" ref="M4:M30" si="18">(L4-L3)/L3*100</f>
        <v>0.62957988157356393</v>
      </c>
      <c r="Z4" s="5" t="s">
        <v>36</v>
      </c>
      <c r="AA4" s="5">
        <f t="shared" si="0"/>
        <v>155.5</v>
      </c>
      <c r="AB4" s="5">
        <f t="shared" si="1"/>
        <v>156.80000000000001</v>
      </c>
      <c r="AC4" s="11">
        <f t="shared" si="2"/>
        <v>146.19999999999999</v>
      </c>
      <c r="AD4" s="11">
        <f t="shared" si="3"/>
        <v>2.0341207349081327</v>
      </c>
      <c r="AE4" s="57">
        <f t="shared" si="4"/>
        <v>0.12771392081737998</v>
      </c>
      <c r="AF4" s="57">
        <f t="shared" si="5"/>
        <v>99.170918367346928</v>
      </c>
      <c r="AJ4" s="5" t="s">
        <v>35</v>
      </c>
      <c r="AK4" s="5">
        <f t="shared" si="8"/>
        <v>182.1</v>
      </c>
      <c r="AL4" s="5">
        <f t="shared" si="9"/>
        <v>177.2</v>
      </c>
      <c r="AM4" s="11">
        <f t="shared" si="10"/>
        <v>164.2</v>
      </c>
      <c r="AN4" s="11">
        <f t="shared" si="11"/>
        <v>5.4945054945051822E-2</v>
      </c>
      <c r="AO4" s="57">
        <f t="shared" si="12"/>
        <v>0.39660056657223147</v>
      </c>
      <c r="AP4" s="57">
        <f t="shared" si="13"/>
        <v>102.76523702031604</v>
      </c>
    </row>
    <row r="5" spans="1:42">
      <c r="A5" s="5" t="s">
        <v>34</v>
      </c>
      <c r="B5" s="5">
        <v>2021</v>
      </c>
      <c r="C5" s="5" t="s">
        <v>37</v>
      </c>
      <c r="D5" s="5">
        <v>155.6</v>
      </c>
      <c r="E5" s="5">
        <v>157.80000000000001</v>
      </c>
      <c r="F5" s="5">
        <v>146.6</v>
      </c>
      <c r="G5" s="11">
        <f t="shared" si="14"/>
        <v>6.4308681672022069E-2</v>
      </c>
      <c r="H5" s="11">
        <f t="shared" si="15"/>
        <v>0.27359781121751414</v>
      </c>
      <c r="I5" s="11">
        <f t="shared" si="16"/>
        <v>0.6377551020408162</v>
      </c>
      <c r="J5" s="57">
        <f t="shared" si="6"/>
        <v>98.605830164765521</v>
      </c>
      <c r="K5" s="57">
        <f t="shared" si="17"/>
        <v>-0.56981241263514226</v>
      </c>
      <c r="L5" s="57">
        <f t="shared" si="7"/>
        <v>92.902408111533575</v>
      </c>
      <c r="M5" s="57">
        <f t="shared" si="18"/>
        <v>-0.36184957668627654</v>
      </c>
      <c r="Z5" s="5" t="s">
        <v>37</v>
      </c>
      <c r="AA5" s="5">
        <f t="shared" si="0"/>
        <v>155.6</v>
      </c>
      <c r="AB5" s="5">
        <f t="shared" si="1"/>
        <v>157.80000000000001</v>
      </c>
      <c r="AC5" s="11">
        <f t="shared" si="2"/>
        <v>146.6</v>
      </c>
      <c r="AD5" s="11">
        <f t="shared" si="3"/>
        <v>6.4308681672022069E-2</v>
      </c>
      <c r="AE5" s="57">
        <f t="shared" si="4"/>
        <v>0.6377551020408162</v>
      </c>
      <c r="AF5" s="57">
        <f t="shared" si="5"/>
        <v>98.605830164765521</v>
      </c>
      <c r="AJ5" s="5" t="s">
        <v>36</v>
      </c>
      <c r="AK5" s="5">
        <f t="shared" si="8"/>
        <v>181.9</v>
      </c>
      <c r="AL5" s="5">
        <f t="shared" si="9"/>
        <v>177.2</v>
      </c>
      <c r="AM5" s="11">
        <f t="shared" si="10"/>
        <v>164.2</v>
      </c>
      <c r="AN5" s="11">
        <f t="shared" si="11"/>
        <v>-0.10982976386600145</v>
      </c>
      <c r="AO5" s="57">
        <f t="shared" si="12"/>
        <v>0</v>
      </c>
      <c r="AP5" s="57">
        <f t="shared" si="13"/>
        <v>102.65237020316027</v>
      </c>
    </row>
    <row r="6" spans="1:42">
      <c r="A6" s="5" t="s">
        <v>34</v>
      </c>
      <c r="B6" s="5">
        <v>2021</v>
      </c>
      <c r="C6" s="5" t="s">
        <v>38</v>
      </c>
      <c r="D6" s="5">
        <v>159.4</v>
      </c>
      <c r="E6" s="5">
        <v>160.4</v>
      </c>
      <c r="F6" s="5">
        <v>148.9</v>
      </c>
      <c r="G6" s="11">
        <f t="shared" si="14"/>
        <v>2.4421593830334265</v>
      </c>
      <c r="H6" s="11">
        <f t="shared" si="15"/>
        <v>1.5688949522510309</v>
      </c>
      <c r="I6" s="11">
        <f t="shared" si="16"/>
        <v>1.6476552598225565</v>
      </c>
      <c r="J6" s="57">
        <f t="shared" si="6"/>
        <v>99.376558603491276</v>
      </c>
      <c r="K6" s="57">
        <f t="shared" si="17"/>
        <v>0.78162562744809805</v>
      </c>
      <c r="L6" s="57">
        <f t="shared" si="7"/>
        <v>92.830423940149629</v>
      </c>
      <c r="M6" s="57">
        <f t="shared" si="18"/>
        <v>-7.7483644231832474E-2</v>
      </c>
      <c r="Z6" s="5" t="s">
        <v>38</v>
      </c>
      <c r="AA6" s="5">
        <f t="shared" si="0"/>
        <v>159.4</v>
      </c>
      <c r="AB6" s="5">
        <f t="shared" si="1"/>
        <v>160.4</v>
      </c>
      <c r="AC6" s="11">
        <f t="shared" si="2"/>
        <v>148.9</v>
      </c>
      <c r="AD6" s="11">
        <f t="shared" si="3"/>
        <v>2.4421593830334265</v>
      </c>
      <c r="AE6" s="57">
        <f t="shared" si="4"/>
        <v>1.6476552598225565</v>
      </c>
      <c r="AF6" s="57">
        <f t="shared" si="5"/>
        <v>99.376558603491276</v>
      </c>
      <c r="AJ6" s="5" t="s">
        <v>37</v>
      </c>
      <c r="AK6" s="5">
        <f t="shared" si="8"/>
        <v>181.7</v>
      </c>
      <c r="AL6" s="5">
        <f t="shared" si="9"/>
        <v>178.1</v>
      </c>
      <c r="AM6" s="11">
        <f t="shared" si="10"/>
        <v>164.5</v>
      </c>
      <c r="AN6" s="11">
        <f t="shared" si="11"/>
        <v>-0.10995052226499014</v>
      </c>
      <c r="AO6" s="57">
        <f t="shared" si="12"/>
        <v>0.50790067720090615</v>
      </c>
      <c r="AP6" s="57">
        <f t="shared" si="13"/>
        <v>102.02133632790566</v>
      </c>
    </row>
    <row r="7" spans="1:42">
      <c r="A7" s="5" t="s">
        <v>34</v>
      </c>
      <c r="B7" s="5">
        <v>2021</v>
      </c>
      <c r="C7" s="5" t="s">
        <v>39</v>
      </c>
      <c r="D7" s="5">
        <v>159.80000000000001</v>
      </c>
      <c r="E7" s="5">
        <v>161.30000000000001</v>
      </c>
      <c r="F7" s="5">
        <v>150.69999999999999</v>
      </c>
      <c r="G7" s="11">
        <f t="shared" si="14"/>
        <v>0.25094102885822184</v>
      </c>
      <c r="H7" s="11">
        <f t="shared" si="15"/>
        <v>1.2088650100738636</v>
      </c>
      <c r="I7" s="11">
        <f t="shared" si="16"/>
        <v>0.56109725685785894</v>
      </c>
      <c r="J7" s="57">
        <f t="shared" si="6"/>
        <v>99.070055796652198</v>
      </c>
      <c r="K7" s="57">
        <f t="shared" si="17"/>
        <v>-0.30842566008148059</v>
      </c>
      <c r="L7" s="57">
        <f t="shared" si="7"/>
        <v>93.428394296342205</v>
      </c>
      <c r="M7" s="57">
        <f t="shared" si="18"/>
        <v>0.64415342601268766</v>
      </c>
      <c r="Z7" s="5" t="s">
        <v>39</v>
      </c>
      <c r="AA7" s="5">
        <f t="shared" si="0"/>
        <v>159.80000000000001</v>
      </c>
      <c r="AB7" s="5">
        <f t="shared" si="1"/>
        <v>161.30000000000001</v>
      </c>
      <c r="AC7" s="11">
        <f t="shared" si="2"/>
        <v>150.69999999999999</v>
      </c>
      <c r="AD7" s="11">
        <f t="shared" si="3"/>
        <v>0.25094102885822184</v>
      </c>
      <c r="AE7" s="57">
        <f t="shared" si="4"/>
        <v>0.56109725685785894</v>
      </c>
      <c r="AF7" s="57">
        <f t="shared" si="5"/>
        <v>99.070055796652198</v>
      </c>
      <c r="AJ7" s="5" t="s">
        <v>38</v>
      </c>
      <c r="AK7" s="5">
        <f t="shared" si="8"/>
        <v>182.8</v>
      </c>
      <c r="AL7" s="5">
        <f t="shared" si="9"/>
        <v>179.1</v>
      </c>
      <c r="AM7" s="11">
        <f t="shared" si="10"/>
        <v>164.8</v>
      </c>
      <c r="AN7" s="11">
        <f t="shared" si="11"/>
        <v>0.60539350577876871</v>
      </c>
      <c r="AO7" s="57">
        <f t="shared" si="12"/>
        <v>0.56148231330713083</v>
      </c>
      <c r="AP7" s="57">
        <f t="shared" si="13"/>
        <v>102.06588498045785</v>
      </c>
    </row>
    <row r="8" spans="1:42">
      <c r="A8" s="5" t="s">
        <v>34</v>
      </c>
      <c r="B8" s="5">
        <v>2021</v>
      </c>
      <c r="C8" s="5" t="s">
        <v>40</v>
      </c>
      <c r="D8" s="5">
        <v>160.69999999999999</v>
      </c>
      <c r="E8" s="5">
        <v>162.5</v>
      </c>
      <c r="F8" s="5">
        <v>153.1</v>
      </c>
      <c r="G8" s="11">
        <f t="shared" si="14"/>
        <v>0.56320400500624357</v>
      </c>
      <c r="H8" s="11">
        <f t="shared" si="15"/>
        <v>1.5925680159256841</v>
      </c>
      <c r="I8" s="11">
        <f t="shared" si="16"/>
        <v>0.74395536267823226</v>
      </c>
      <c r="J8" s="57">
        <f t="shared" si="6"/>
        <v>98.892307692307696</v>
      </c>
      <c r="K8" s="57">
        <f t="shared" si="17"/>
        <v>-0.17941657841532041</v>
      </c>
      <c r="L8" s="57">
        <f t="shared" si="7"/>
        <v>94.215384615384608</v>
      </c>
      <c r="M8" s="57">
        <f t="shared" si="18"/>
        <v>0.84234597519269783</v>
      </c>
      <c r="Z8" s="5" t="s">
        <v>40</v>
      </c>
      <c r="AA8" s="5">
        <f t="shared" si="0"/>
        <v>160.69999999999999</v>
      </c>
      <c r="AB8" s="5">
        <f t="shared" si="1"/>
        <v>162.5</v>
      </c>
      <c r="AC8" s="11">
        <f t="shared" si="2"/>
        <v>153.1</v>
      </c>
      <c r="AD8" s="11">
        <f t="shared" si="3"/>
        <v>0.56320400500624357</v>
      </c>
      <c r="AE8" s="57">
        <f t="shared" si="4"/>
        <v>0.74395536267823226</v>
      </c>
      <c r="AF8" s="57">
        <f t="shared" si="5"/>
        <v>98.892307692307696</v>
      </c>
      <c r="AJ8" s="5" t="s">
        <v>39</v>
      </c>
      <c r="AK8" s="5">
        <f t="shared" si="8"/>
        <v>0</v>
      </c>
      <c r="AL8" s="5">
        <f t="shared" si="9"/>
        <v>0</v>
      </c>
      <c r="AM8" s="5">
        <f t="shared" si="10"/>
        <v>0</v>
      </c>
      <c r="AN8" s="5">
        <f t="shared" si="11"/>
        <v>0</v>
      </c>
      <c r="AO8" s="5">
        <f t="shared" si="12"/>
        <v>0</v>
      </c>
      <c r="AP8" s="5">
        <f t="shared" si="13"/>
        <v>0</v>
      </c>
    </row>
    <row r="9" spans="1:42">
      <c r="A9" s="5" t="s">
        <v>34</v>
      </c>
      <c r="B9" s="5">
        <v>2021</v>
      </c>
      <c r="C9" s="5" t="s">
        <v>41</v>
      </c>
      <c r="D9" s="5">
        <v>162.6</v>
      </c>
      <c r="E9" s="5">
        <v>163.19999999999999</v>
      </c>
      <c r="F9" s="5">
        <v>154</v>
      </c>
      <c r="G9" s="11">
        <f t="shared" si="14"/>
        <v>1.1823273179838243</v>
      </c>
      <c r="H9" s="11">
        <f t="shared" si="15"/>
        <v>0.58785107772697953</v>
      </c>
      <c r="I9" s="11">
        <f t="shared" si="16"/>
        <v>0.4307692307692238</v>
      </c>
      <c r="J9" s="57">
        <f t="shared" si="6"/>
        <v>99.632352941176478</v>
      </c>
      <c r="K9" s="57">
        <f t="shared" si="17"/>
        <v>0.7483344924777664</v>
      </c>
      <c r="L9" s="57">
        <f t="shared" si="7"/>
        <v>94.362745098039227</v>
      </c>
      <c r="M9" s="57">
        <f t="shared" si="18"/>
        <v>0.15640808903576514</v>
      </c>
      <c r="Z9" s="5" t="s">
        <v>41</v>
      </c>
      <c r="AA9" s="5">
        <f t="shared" si="0"/>
        <v>162.6</v>
      </c>
      <c r="AB9" s="5">
        <f t="shared" si="1"/>
        <v>163.19999999999999</v>
      </c>
      <c r="AC9" s="11">
        <f t="shared" si="2"/>
        <v>154</v>
      </c>
      <c r="AD9" s="11">
        <f t="shared" si="3"/>
        <v>1.1823273179838243</v>
      </c>
      <c r="AE9" s="57">
        <f t="shared" si="4"/>
        <v>0.4307692307692238</v>
      </c>
      <c r="AF9" s="57">
        <f t="shared" si="5"/>
        <v>99.632352941176478</v>
      </c>
      <c r="AJ9" s="5" t="s">
        <v>40</v>
      </c>
      <c r="AK9" s="5">
        <f t="shared" si="8"/>
        <v>0</v>
      </c>
      <c r="AL9" s="5">
        <f t="shared" si="9"/>
        <v>0</v>
      </c>
      <c r="AM9" s="5">
        <f t="shared" si="10"/>
        <v>0</v>
      </c>
      <c r="AN9" s="5">
        <f t="shared" si="11"/>
        <v>0</v>
      </c>
      <c r="AO9" s="5">
        <f t="shared" si="12"/>
        <v>0</v>
      </c>
      <c r="AP9" s="5">
        <f t="shared" si="13"/>
        <v>0</v>
      </c>
    </row>
    <row r="10" spans="1:42">
      <c r="A10" s="5" t="s">
        <v>34</v>
      </c>
      <c r="B10" s="5">
        <v>2021</v>
      </c>
      <c r="C10" s="5" t="s">
        <v>42</v>
      </c>
      <c r="D10" s="5">
        <v>162.6</v>
      </c>
      <c r="E10" s="5">
        <v>163.19999999999999</v>
      </c>
      <c r="F10" s="5">
        <v>154</v>
      </c>
      <c r="G10" s="11">
        <f t="shared" si="14"/>
        <v>0</v>
      </c>
      <c r="H10" s="11">
        <f t="shared" si="15"/>
        <v>0</v>
      </c>
      <c r="I10" s="11">
        <f t="shared" si="16"/>
        <v>0</v>
      </c>
      <c r="J10" s="57">
        <f t="shared" si="6"/>
        <v>99.632352941176478</v>
      </c>
      <c r="K10" s="57">
        <f t="shared" si="17"/>
        <v>0</v>
      </c>
      <c r="L10" s="57">
        <f t="shared" si="7"/>
        <v>94.362745098039227</v>
      </c>
      <c r="M10" s="57">
        <f t="shared" si="18"/>
        <v>0</v>
      </c>
      <c r="Z10" s="5" t="s">
        <v>42</v>
      </c>
      <c r="AA10" s="5">
        <f t="shared" si="0"/>
        <v>162.6</v>
      </c>
      <c r="AB10" s="5">
        <f t="shared" si="1"/>
        <v>163.19999999999999</v>
      </c>
      <c r="AC10" s="11">
        <f t="shared" si="2"/>
        <v>154</v>
      </c>
      <c r="AD10" s="11">
        <f t="shared" si="3"/>
        <v>0</v>
      </c>
      <c r="AE10" s="57">
        <f t="shared" si="4"/>
        <v>0</v>
      </c>
      <c r="AF10" s="57">
        <f t="shared" si="5"/>
        <v>99.632352941176478</v>
      </c>
      <c r="AJ10" s="5" t="s">
        <v>41</v>
      </c>
      <c r="AK10" s="5">
        <f t="shared" si="8"/>
        <v>0</v>
      </c>
      <c r="AL10" s="5">
        <f t="shared" si="9"/>
        <v>0</v>
      </c>
      <c r="AM10" s="5">
        <f t="shared" si="10"/>
        <v>0</v>
      </c>
      <c r="AN10" s="5">
        <f t="shared" si="11"/>
        <v>0</v>
      </c>
      <c r="AO10" s="5">
        <f t="shared" si="12"/>
        <v>0</v>
      </c>
      <c r="AP10" s="5">
        <f t="shared" si="13"/>
        <v>0</v>
      </c>
    </row>
    <row r="11" spans="1:42">
      <c r="A11" s="5" t="s">
        <v>34</v>
      </c>
      <c r="B11" s="5">
        <v>2021</v>
      </c>
      <c r="C11" s="5" t="s">
        <v>43</v>
      </c>
      <c r="D11" s="5">
        <v>164.2</v>
      </c>
      <c r="E11" s="5">
        <v>165.5</v>
      </c>
      <c r="F11" s="5">
        <v>155.69999999999999</v>
      </c>
      <c r="G11" s="11">
        <f t="shared" si="14"/>
        <v>0.98400984009839754</v>
      </c>
      <c r="H11" s="11">
        <f t="shared" si="15"/>
        <v>1.1038961038960964</v>
      </c>
      <c r="I11" s="11">
        <f t="shared" si="16"/>
        <v>1.4093137254902033</v>
      </c>
      <c r="J11" s="57">
        <f t="shared" si="6"/>
        <v>99.21450151057401</v>
      </c>
      <c r="K11" s="57">
        <f t="shared" si="17"/>
        <v>-0.41939331780026312</v>
      </c>
      <c r="L11" s="57">
        <f t="shared" si="7"/>
        <v>94.0785498489426</v>
      </c>
      <c r="M11" s="57">
        <f t="shared" si="18"/>
        <v>-0.30117314709460663</v>
      </c>
      <c r="Z11" s="5" t="s">
        <v>43</v>
      </c>
      <c r="AA11" s="5">
        <f t="shared" si="0"/>
        <v>164.2</v>
      </c>
      <c r="AB11" s="5">
        <f t="shared" si="1"/>
        <v>165.5</v>
      </c>
      <c r="AC11" s="11">
        <f t="shared" si="2"/>
        <v>155.69999999999999</v>
      </c>
      <c r="AD11" s="11">
        <f t="shared" si="3"/>
        <v>0.98400984009839754</v>
      </c>
      <c r="AE11" s="57">
        <f t="shared" si="4"/>
        <v>1.4093137254902033</v>
      </c>
      <c r="AF11" s="57">
        <f t="shared" si="5"/>
        <v>99.21450151057401</v>
      </c>
      <c r="AJ11" s="5" t="s">
        <v>42</v>
      </c>
      <c r="AK11" s="5">
        <f t="shared" si="8"/>
        <v>0</v>
      </c>
      <c r="AL11" s="5">
        <f t="shared" si="9"/>
        <v>0</v>
      </c>
      <c r="AM11" s="5">
        <f t="shared" si="10"/>
        <v>0</v>
      </c>
      <c r="AN11" s="5">
        <f t="shared" si="11"/>
        <v>0</v>
      </c>
      <c r="AO11" s="5">
        <f t="shared" si="12"/>
        <v>0</v>
      </c>
      <c r="AP11" s="5">
        <f t="shared" si="13"/>
        <v>0</v>
      </c>
    </row>
    <row r="12" spans="1:42">
      <c r="A12" s="5" t="s">
        <v>34</v>
      </c>
      <c r="B12" s="5">
        <v>2021</v>
      </c>
      <c r="C12" s="5" t="s">
        <v>45</v>
      </c>
      <c r="D12" s="5">
        <v>163.9</v>
      </c>
      <c r="E12" s="5">
        <v>166.7</v>
      </c>
      <c r="F12" s="5">
        <v>154.80000000000001</v>
      </c>
      <c r="G12" s="11">
        <f t="shared" si="14"/>
        <v>-0.18270401948841836</v>
      </c>
      <c r="H12" s="11">
        <f t="shared" si="15"/>
        <v>-0.57803468208091024</v>
      </c>
      <c r="I12" s="11">
        <f t="shared" si="16"/>
        <v>0.72507552870089953</v>
      </c>
      <c r="J12" s="57">
        <f t="shared" si="6"/>
        <v>98.32033593281345</v>
      </c>
      <c r="K12" s="57">
        <f t="shared" si="17"/>
        <v>-0.90124484238351266</v>
      </c>
      <c r="L12" s="57">
        <f t="shared" si="7"/>
        <v>92.861427714457122</v>
      </c>
      <c r="M12" s="57">
        <f t="shared" si="18"/>
        <v>-1.293729693367673</v>
      </c>
      <c r="Z12" s="5" t="s">
        <v>45</v>
      </c>
      <c r="AA12" s="5">
        <f t="shared" si="0"/>
        <v>163.9</v>
      </c>
      <c r="AB12" s="5">
        <f t="shared" si="1"/>
        <v>166.7</v>
      </c>
      <c r="AC12" s="11">
        <f t="shared" si="2"/>
        <v>154.80000000000001</v>
      </c>
      <c r="AD12" s="11">
        <f t="shared" si="3"/>
        <v>-0.18270401948841836</v>
      </c>
      <c r="AE12" s="57">
        <f t="shared" si="4"/>
        <v>0.72507552870089953</v>
      </c>
      <c r="AF12" s="57">
        <f t="shared" si="5"/>
        <v>98.32033593281345</v>
      </c>
      <c r="AJ12" s="5" t="s">
        <v>43</v>
      </c>
      <c r="AK12" s="5">
        <f t="shared" si="8"/>
        <v>0</v>
      </c>
      <c r="AL12" s="5">
        <f t="shared" si="9"/>
        <v>0</v>
      </c>
      <c r="AM12" s="5">
        <f t="shared" si="10"/>
        <v>0</v>
      </c>
      <c r="AN12" s="5">
        <f t="shared" si="11"/>
        <v>0</v>
      </c>
      <c r="AO12" s="5">
        <f t="shared" si="12"/>
        <v>0</v>
      </c>
      <c r="AP12" s="5">
        <f t="shared" si="13"/>
        <v>0</v>
      </c>
    </row>
    <row r="13" spans="1:42">
      <c r="A13" s="5" t="s">
        <v>34</v>
      </c>
      <c r="B13" s="5">
        <v>2021</v>
      </c>
      <c r="C13" s="5" t="s">
        <v>46</v>
      </c>
      <c r="D13" s="5">
        <v>164.1</v>
      </c>
      <c r="E13" s="5">
        <v>166.2</v>
      </c>
      <c r="F13" s="5">
        <v>155.69999999999999</v>
      </c>
      <c r="G13" s="11">
        <f t="shared" si="14"/>
        <v>0.12202562538132314</v>
      </c>
      <c r="H13" s="11">
        <f t="shared" si="15"/>
        <v>0.58139534883719457</v>
      </c>
      <c r="I13" s="11">
        <f t="shared" si="16"/>
        <v>-0.29994001199760051</v>
      </c>
      <c r="J13" s="57">
        <f t="shared" si="6"/>
        <v>98.736462093862826</v>
      </c>
      <c r="K13" s="57">
        <f t="shared" si="17"/>
        <v>0.42323508875491817</v>
      </c>
      <c r="L13" s="57">
        <f t="shared" si="7"/>
        <v>93.682310469314075</v>
      </c>
      <c r="M13" s="57">
        <f t="shared" si="18"/>
        <v>0.88398679092153776</v>
      </c>
      <c r="Z13" s="5" t="s">
        <v>46</v>
      </c>
      <c r="AA13" s="5">
        <f t="shared" si="0"/>
        <v>164.1</v>
      </c>
      <c r="AB13" s="5">
        <f t="shared" si="1"/>
        <v>166.2</v>
      </c>
      <c r="AC13" s="11">
        <f t="shared" si="2"/>
        <v>155.69999999999999</v>
      </c>
      <c r="AD13" s="11">
        <f t="shared" si="3"/>
        <v>0.12202562538132314</v>
      </c>
      <c r="AE13" s="57">
        <f t="shared" si="4"/>
        <v>-0.29994001199760051</v>
      </c>
      <c r="AF13" s="57">
        <f t="shared" si="5"/>
        <v>98.736462093862826</v>
      </c>
      <c r="AJ13" s="5" t="s">
        <v>45</v>
      </c>
      <c r="AK13" s="5">
        <f t="shared" si="8"/>
        <v>0</v>
      </c>
      <c r="AL13" s="5">
        <f t="shared" si="9"/>
        <v>0</v>
      </c>
      <c r="AM13" s="5">
        <f t="shared" si="10"/>
        <v>0</v>
      </c>
      <c r="AN13" s="5">
        <f t="shared" si="11"/>
        <v>0</v>
      </c>
      <c r="AO13" s="5">
        <f t="shared" si="12"/>
        <v>0</v>
      </c>
      <c r="AP13" s="5">
        <f t="shared" si="13"/>
        <v>0</v>
      </c>
    </row>
    <row r="14" spans="1:42">
      <c r="A14" s="5" t="s">
        <v>34</v>
      </c>
      <c r="B14" s="5">
        <v>2022</v>
      </c>
      <c r="C14" s="5" t="s">
        <v>31</v>
      </c>
      <c r="D14" s="5">
        <v>164.2</v>
      </c>
      <c r="E14" s="5">
        <v>165.7</v>
      </c>
      <c r="F14" s="5">
        <v>156.5</v>
      </c>
      <c r="G14" s="11">
        <f t="shared" si="14"/>
        <v>6.0938452163311584E-2</v>
      </c>
      <c r="H14" s="11">
        <f t="shared" si="15"/>
        <v>0.51380860629416281</v>
      </c>
      <c r="I14" s="11">
        <f t="shared" si="16"/>
        <v>-0.30084235860409148</v>
      </c>
      <c r="J14" s="57">
        <f t="shared" si="6"/>
        <v>99.094749547374775</v>
      </c>
      <c r="K14" s="57">
        <f t="shared" si="17"/>
        <v>0.36287248490972496</v>
      </c>
      <c r="L14" s="57">
        <f t="shared" si="7"/>
        <v>94.447797223898618</v>
      </c>
      <c r="M14" s="57">
        <f t="shared" si="18"/>
        <v>0.81710917541394423</v>
      </c>
      <c r="AJ14" s="5" t="s">
        <v>46</v>
      </c>
      <c r="AK14" s="5">
        <f t="shared" si="8"/>
        <v>0</v>
      </c>
      <c r="AL14" s="5">
        <f t="shared" si="9"/>
        <v>0</v>
      </c>
      <c r="AM14" s="5">
        <f t="shared" si="10"/>
        <v>0</v>
      </c>
      <c r="AN14" s="5">
        <f t="shared" si="11"/>
        <v>0</v>
      </c>
      <c r="AO14" s="5">
        <f t="shared" si="12"/>
        <v>0</v>
      </c>
      <c r="AP14" s="5">
        <f t="shared" si="13"/>
        <v>0</v>
      </c>
    </row>
    <row r="15" spans="1:42">
      <c r="A15" s="5" t="s">
        <v>34</v>
      </c>
      <c r="B15" s="5">
        <v>2022</v>
      </c>
      <c r="C15" s="5" t="s">
        <v>35</v>
      </c>
      <c r="D15" s="5">
        <v>165.7</v>
      </c>
      <c r="E15" s="5">
        <v>166.1</v>
      </c>
      <c r="F15" s="5">
        <v>156.9</v>
      </c>
      <c r="G15" s="11">
        <f t="shared" si="14"/>
        <v>0.91352009744214369</v>
      </c>
      <c r="H15" s="11">
        <f t="shared" si="15"/>
        <v>0.25559105431310269</v>
      </c>
      <c r="I15" s="11">
        <f t="shared" si="16"/>
        <v>0.24140012070006378</v>
      </c>
      <c r="J15" s="57">
        <f t="shared" si="6"/>
        <v>99.759181216134849</v>
      </c>
      <c r="K15" s="57">
        <f t="shared" si="17"/>
        <v>0.67050138558796701</v>
      </c>
      <c r="L15" s="57">
        <f t="shared" si="7"/>
        <v>94.461167971101759</v>
      </c>
      <c r="M15" s="57">
        <f t="shared" si="18"/>
        <v>1.4156759179299403E-2</v>
      </c>
    </row>
    <row r="16" spans="1:42">
      <c r="A16" s="5" t="s">
        <v>34</v>
      </c>
      <c r="B16" s="5">
        <v>2022</v>
      </c>
      <c r="C16" s="5" t="s">
        <v>36</v>
      </c>
      <c r="D16" s="5">
        <v>167.2</v>
      </c>
      <c r="E16" s="5">
        <v>167.7</v>
      </c>
      <c r="F16" s="5">
        <v>157.9</v>
      </c>
      <c r="G16" s="11">
        <f t="shared" si="14"/>
        <v>0.9052504526252263</v>
      </c>
      <c r="H16" s="11">
        <f t="shared" si="15"/>
        <v>0.63734862970044615</v>
      </c>
      <c r="I16" s="11">
        <f t="shared" si="16"/>
        <v>0.96327513546056243</v>
      </c>
      <c r="J16" s="57">
        <f t="shared" si="6"/>
        <v>99.701848539057849</v>
      </c>
      <c r="K16" s="57">
        <f t="shared" si="17"/>
        <v>-5.7471078228663972E-2</v>
      </c>
      <c r="L16" s="57">
        <f t="shared" si="7"/>
        <v>94.156231365533699</v>
      </c>
      <c r="M16" s="57">
        <f t="shared" si="18"/>
        <v>-0.32281689091685561</v>
      </c>
    </row>
    <row r="17" spans="1:32">
      <c r="A17" s="5" t="s">
        <v>34</v>
      </c>
      <c r="B17" s="5">
        <v>2022</v>
      </c>
      <c r="C17" s="5" t="s">
        <v>37</v>
      </c>
      <c r="D17" s="5">
        <v>172.2</v>
      </c>
      <c r="E17" s="5">
        <v>170.1</v>
      </c>
      <c r="F17" s="5">
        <v>162.6</v>
      </c>
      <c r="G17" s="11">
        <f t="shared" si="14"/>
        <v>2.9904306220095696</v>
      </c>
      <c r="H17" s="11">
        <f t="shared" si="15"/>
        <v>2.9765674477517345</v>
      </c>
      <c r="I17" s="11">
        <f t="shared" si="16"/>
        <v>1.4311270125223647</v>
      </c>
      <c r="J17" s="57">
        <f t="shared" si="6"/>
        <v>101.23456790123457</v>
      </c>
      <c r="K17" s="57">
        <f t="shared" si="17"/>
        <v>1.537302853092321</v>
      </c>
      <c r="L17" s="57">
        <f t="shared" si="7"/>
        <v>95.590828924162253</v>
      </c>
      <c r="M17" s="57">
        <f t="shared" si="18"/>
        <v>1.5236352791767471</v>
      </c>
      <c r="Z17" s="48" t="s">
        <v>2</v>
      </c>
      <c r="AA17" s="49" t="s">
        <v>21</v>
      </c>
      <c r="AB17" s="49" t="s">
        <v>29</v>
      </c>
      <c r="AC17" s="49" t="s">
        <v>76</v>
      </c>
      <c r="AD17" s="49" t="s">
        <v>77</v>
      </c>
      <c r="AE17" s="49" t="s">
        <v>78</v>
      </c>
      <c r="AF17" s="49" t="s">
        <v>79</v>
      </c>
    </row>
    <row r="18" spans="1:32">
      <c r="A18" s="5" t="s">
        <v>34</v>
      </c>
      <c r="B18" s="5">
        <v>2022</v>
      </c>
      <c r="C18" s="5" t="s">
        <v>38</v>
      </c>
      <c r="D18" s="5">
        <v>174.6</v>
      </c>
      <c r="E18" s="5">
        <v>171.7</v>
      </c>
      <c r="F18" s="5">
        <v>163</v>
      </c>
      <c r="G18" s="11">
        <f t="shared" si="14"/>
        <v>1.3937282229965191</v>
      </c>
      <c r="H18" s="11">
        <f t="shared" si="15"/>
        <v>0.24600246002460377</v>
      </c>
      <c r="I18" s="11">
        <f t="shared" si="16"/>
        <v>0.94062316284538183</v>
      </c>
      <c r="J18" s="57">
        <f t="shared" si="6"/>
        <v>101.68899242865463</v>
      </c>
      <c r="K18" s="57">
        <f t="shared" si="17"/>
        <v>0.44888276489054624</v>
      </c>
      <c r="L18" s="57">
        <f t="shared" si="7"/>
        <v>94.933022714036113</v>
      </c>
      <c r="M18" s="57">
        <f t="shared" si="18"/>
        <v>-0.68814782498435634</v>
      </c>
      <c r="Y18" s="5">
        <v>2022</v>
      </c>
      <c r="Z18" s="34" t="s">
        <v>31</v>
      </c>
      <c r="AA18" s="5">
        <f t="shared" ref="AA18:AA29" si="19">SUMIFS(D:D,$C:$C,$Z18,$B:$B,$Y$18)</f>
        <v>164.2</v>
      </c>
      <c r="AB18" s="5">
        <f t="shared" ref="AB18:AB29" si="20">SUMIFS(E:E,$C:$C,$Z18,$B:$B,$Y$18)</f>
        <v>165.7</v>
      </c>
      <c r="AC18" s="11">
        <f t="shared" ref="AC18:AC29" si="21">SUMIFS(F:F,$C:$C,$Z18,$B:$B,$Y$18)</f>
        <v>156.5</v>
      </c>
      <c r="AD18" s="11">
        <f t="shared" ref="AD18:AD29" si="22">SUMIFS(G:G,$C:$C,$Z18,$B:$B,$Y$18)</f>
        <v>6.0938452163311584E-2</v>
      </c>
      <c r="AE18" s="57">
        <f t="shared" ref="AE18:AE29" si="23">SUMIFS(I:I,$C:$C,$Z18,$B:$B,$Y$18)</f>
        <v>-0.30084235860409148</v>
      </c>
      <c r="AF18" s="57">
        <f t="shared" ref="AF18:AF29" si="24">SUMIFS(J:J,$C:$C,$Z18,$B:$B,$Y$18)</f>
        <v>99.094749547374775</v>
      </c>
    </row>
    <row r="19" spans="1:32">
      <c r="A19" s="5" t="s">
        <v>34</v>
      </c>
      <c r="B19" s="5">
        <v>2022</v>
      </c>
      <c r="C19" s="5" t="s">
        <v>39</v>
      </c>
      <c r="D19" s="5">
        <v>176</v>
      </c>
      <c r="E19" s="5">
        <v>172.6</v>
      </c>
      <c r="F19" s="5">
        <v>161.1</v>
      </c>
      <c r="G19" s="11">
        <f t="shared" si="14"/>
        <v>0.80183276059565045</v>
      </c>
      <c r="H19" s="11">
        <f t="shared" si="15"/>
        <v>-1.1656441717791446</v>
      </c>
      <c r="I19" s="11">
        <f t="shared" si="16"/>
        <v>0.52417006406523348</v>
      </c>
      <c r="J19" s="57">
        <f t="shared" si="6"/>
        <v>101.96987253765933</v>
      </c>
      <c r="K19" s="57">
        <f t="shared" si="17"/>
        <v>0.27621486091699149</v>
      </c>
      <c r="L19" s="57">
        <f t="shared" si="7"/>
        <v>93.337195828505216</v>
      </c>
      <c r="M19" s="57">
        <f t="shared" si="18"/>
        <v>-1.6810029217524849</v>
      </c>
      <c r="Z19" s="34" t="s">
        <v>35</v>
      </c>
      <c r="AA19" s="5">
        <f t="shared" si="19"/>
        <v>165.7</v>
      </c>
      <c r="AB19" s="5">
        <f t="shared" si="20"/>
        <v>166.1</v>
      </c>
      <c r="AC19" s="11">
        <f t="shared" si="21"/>
        <v>156.9</v>
      </c>
      <c r="AD19" s="11">
        <f t="shared" si="22"/>
        <v>0.91352009744214369</v>
      </c>
      <c r="AE19" s="57">
        <f t="shared" si="23"/>
        <v>0.24140012070006378</v>
      </c>
      <c r="AF19" s="57">
        <f t="shared" si="24"/>
        <v>99.759181216134849</v>
      </c>
    </row>
    <row r="20" spans="1:32">
      <c r="A20" s="5" t="s">
        <v>34</v>
      </c>
      <c r="B20" s="5">
        <v>2022</v>
      </c>
      <c r="C20" s="5" t="s">
        <v>40</v>
      </c>
      <c r="D20" s="5">
        <v>179.6</v>
      </c>
      <c r="E20" s="5">
        <v>173.4</v>
      </c>
      <c r="F20" s="5">
        <v>161.6</v>
      </c>
      <c r="G20" s="11">
        <f t="shared" si="14"/>
        <v>2.0454545454545423</v>
      </c>
      <c r="H20" s="11">
        <f t="shared" si="15"/>
        <v>0.31036623215394166</v>
      </c>
      <c r="I20" s="11">
        <f t="shared" si="16"/>
        <v>0.4634994206257308</v>
      </c>
      <c r="J20" s="57">
        <f t="shared" si="6"/>
        <v>103.57554786620531</v>
      </c>
      <c r="K20" s="57">
        <f t="shared" si="17"/>
        <v>1.5746566006081646</v>
      </c>
      <c r="L20" s="57">
        <f t="shared" si="7"/>
        <v>93.194925028835058</v>
      </c>
      <c r="M20" s="57">
        <f t="shared" si="18"/>
        <v>-0.1524266916391632</v>
      </c>
      <c r="Z20" s="34" t="s">
        <v>36</v>
      </c>
      <c r="AA20" s="5">
        <f t="shared" si="19"/>
        <v>167.2</v>
      </c>
      <c r="AB20" s="5">
        <f t="shared" si="20"/>
        <v>167.7</v>
      </c>
      <c r="AC20" s="11">
        <f t="shared" si="21"/>
        <v>157.9</v>
      </c>
      <c r="AD20" s="11">
        <f t="shared" si="22"/>
        <v>0.9052504526252263</v>
      </c>
      <c r="AE20" s="57">
        <f t="shared" si="23"/>
        <v>0.96327513546056243</v>
      </c>
      <c r="AF20" s="57">
        <f t="shared" si="24"/>
        <v>99.701848539057849</v>
      </c>
    </row>
    <row r="21" spans="1:32">
      <c r="A21" s="5" t="s">
        <v>34</v>
      </c>
      <c r="B21" s="5">
        <v>2022</v>
      </c>
      <c r="C21" s="5" t="s">
        <v>41</v>
      </c>
      <c r="D21" s="5">
        <v>178.8</v>
      </c>
      <c r="E21" s="5">
        <v>174.3</v>
      </c>
      <c r="F21" s="5">
        <v>161.9</v>
      </c>
      <c r="G21" s="11">
        <f t="shared" si="14"/>
        <v>-0.44543429844097049</v>
      </c>
      <c r="H21" s="11">
        <f t="shared" si="15"/>
        <v>0.18564356435644269</v>
      </c>
      <c r="I21" s="11">
        <f t="shared" si="16"/>
        <v>0.5190311418685154</v>
      </c>
      <c r="J21" s="57">
        <f t="shared" si="6"/>
        <v>102.58175559380378</v>
      </c>
      <c r="K21" s="57">
        <f t="shared" si="17"/>
        <v>-0.95948541221840855</v>
      </c>
      <c r="L21" s="57">
        <f t="shared" si="7"/>
        <v>92.885829030407336</v>
      </c>
      <c r="M21" s="57">
        <f t="shared" si="18"/>
        <v>-0.33166612702578585</v>
      </c>
      <c r="Z21" s="34" t="s">
        <v>37</v>
      </c>
      <c r="AA21" s="5">
        <f t="shared" si="19"/>
        <v>172.2</v>
      </c>
      <c r="AB21" s="5">
        <f t="shared" si="20"/>
        <v>170.1</v>
      </c>
      <c r="AC21" s="11">
        <f t="shared" si="21"/>
        <v>162.6</v>
      </c>
      <c r="AD21" s="11">
        <f t="shared" si="22"/>
        <v>2.9904306220095696</v>
      </c>
      <c r="AE21" s="57">
        <f t="shared" si="23"/>
        <v>1.4311270125223647</v>
      </c>
      <c r="AF21" s="57">
        <f t="shared" si="24"/>
        <v>101.23456790123457</v>
      </c>
    </row>
    <row r="22" spans="1:32">
      <c r="A22" s="5" t="s">
        <v>34</v>
      </c>
      <c r="B22" s="5">
        <v>2022</v>
      </c>
      <c r="C22" s="5" t="s">
        <v>42</v>
      </c>
      <c r="D22" s="5">
        <v>179.5</v>
      </c>
      <c r="E22" s="5">
        <v>175.3</v>
      </c>
      <c r="F22" s="5">
        <v>162.30000000000001</v>
      </c>
      <c r="G22" s="11">
        <f t="shared" si="14"/>
        <v>0.39149888143176093</v>
      </c>
      <c r="H22" s="11">
        <f t="shared" si="15"/>
        <v>0.2470660901791264</v>
      </c>
      <c r="I22" s="11">
        <f t="shared" si="16"/>
        <v>0.57372346528973028</v>
      </c>
      <c r="J22" s="57">
        <f t="shared" si="6"/>
        <v>102.39589275527665</v>
      </c>
      <c r="K22" s="57">
        <f t="shared" si="17"/>
        <v>-0.18118508252392929</v>
      </c>
      <c r="L22" s="57">
        <f t="shared" si="7"/>
        <v>92.584141471762692</v>
      </c>
      <c r="M22" s="57">
        <f t="shared" si="18"/>
        <v>-0.32479395597134997</v>
      </c>
      <c r="Z22" s="34" t="s">
        <v>38</v>
      </c>
      <c r="AA22" s="5">
        <f t="shared" si="19"/>
        <v>174.6</v>
      </c>
      <c r="AB22" s="5">
        <f t="shared" si="20"/>
        <v>171.7</v>
      </c>
      <c r="AC22" s="11">
        <f t="shared" si="21"/>
        <v>163</v>
      </c>
      <c r="AD22" s="11">
        <f t="shared" si="22"/>
        <v>1.3937282229965191</v>
      </c>
      <c r="AE22" s="57">
        <f t="shared" si="23"/>
        <v>0.94062316284538183</v>
      </c>
      <c r="AF22" s="57">
        <f t="shared" si="24"/>
        <v>101.68899242865463</v>
      </c>
    </row>
    <row r="23" spans="1:32">
      <c r="A23" s="5" t="s">
        <v>34</v>
      </c>
      <c r="B23" s="5">
        <v>2022</v>
      </c>
      <c r="C23" s="5" t="s">
        <v>43</v>
      </c>
      <c r="D23" s="5">
        <v>180.5</v>
      </c>
      <c r="E23" s="5">
        <v>176.7</v>
      </c>
      <c r="F23" s="5">
        <v>162.9</v>
      </c>
      <c r="G23" s="11">
        <f t="shared" si="14"/>
        <v>0.55710306406685239</v>
      </c>
      <c r="H23" s="11">
        <f t="shared" si="15"/>
        <v>0.36968576709796319</v>
      </c>
      <c r="I23" s="11">
        <f t="shared" si="16"/>
        <v>0.79863091842554312</v>
      </c>
      <c r="J23" s="57">
        <f t="shared" si="6"/>
        <v>102.15053763440861</v>
      </c>
      <c r="K23" s="57">
        <f t="shared" si="17"/>
        <v>-0.23961422110399766</v>
      </c>
      <c r="L23" s="57">
        <f t="shared" si="7"/>
        <v>92.190152801358238</v>
      </c>
      <c r="M23" s="57">
        <f t="shared" si="18"/>
        <v>-0.42554660457116933</v>
      </c>
      <c r="Z23" s="34" t="s">
        <v>39</v>
      </c>
      <c r="AA23" s="5">
        <f t="shared" si="19"/>
        <v>176</v>
      </c>
      <c r="AB23" s="5">
        <f t="shared" si="20"/>
        <v>172.6</v>
      </c>
      <c r="AC23" s="11">
        <f t="shared" si="21"/>
        <v>161.1</v>
      </c>
      <c r="AD23" s="11">
        <f t="shared" si="22"/>
        <v>0.80183276059565045</v>
      </c>
      <c r="AE23" s="57">
        <f t="shared" si="23"/>
        <v>0.52417006406523348</v>
      </c>
      <c r="AF23" s="57">
        <f t="shared" si="24"/>
        <v>101.96987253765933</v>
      </c>
    </row>
    <row r="24" spans="1:32">
      <c r="A24" s="5" t="s">
        <v>34</v>
      </c>
      <c r="B24" s="5">
        <v>2022</v>
      </c>
      <c r="C24" s="5" t="s">
        <v>45</v>
      </c>
      <c r="D24" s="5">
        <v>181.3</v>
      </c>
      <c r="E24" s="5">
        <v>176.5</v>
      </c>
      <c r="F24" s="5">
        <v>163</v>
      </c>
      <c r="G24" s="11">
        <f t="shared" si="14"/>
        <v>0.44321329639889823</v>
      </c>
      <c r="H24" s="11">
        <f t="shared" si="15"/>
        <v>6.1387354205030269E-2</v>
      </c>
      <c r="I24" s="11">
        <f t="shared" si="16"/>
        <v>-0.11318619128465683</v>
      </c>
      <c r="J24" s="57">
        <f t="shared" si="6"/>
        <v>102.71954674220964</v>
      </c>
      <c r="K24" s="57">
        <f t="shared" si="17"/>
        <v>0.55702996868943611</v>
      </c>
      <c r="L24" s="57">
        <f t="shared" si="7"/>
        <v>92.351274787535402</v>
      </c>
      <c r="M24" s="57">
        <f t="shared" si="18"/>
        <v>0.17477136253839753</v>
      </c>
      <c r="Z24" s="34" t="s">
        <v>40</v>
      </c>
      <c r="AA24" s="5">
        <f t="shared" si="19"/>
        <v>179.6</v>
      </c>
      <c r="AB24" s="5">
        <f t="shared" si="20"/>
        <v>173.4</v>
      </c>
      <c r="AC24" s="11">
        <f t="shared" si="21"/>
        <v>161.6</v>
      </c>
      <c r="AD24" s="11">
        <f t="shared" si="22"/>
        <v>2.0454545454545423</v>
      </c>
      <c r="AE24" s="57">
        <f t="shared" si="23"/>
        <v>0.4634994206257308</v>
      </c>
      <c r="AF24" s="57">
        <f t="shared" si="24"/>
        <v>103.57554786620531</v>
      </c>
    </row>
    <row r="25" spans="1:32">
      <c r="A25" s="5" t="s">
        <v>34</v>
      </c>
      <c r="B25" s="5">
        <v>2022</v>
      </c>
      <c r="C25" s="5" t="s">
        <v>46</v>
      </c>
      <c r="D25" s="5">
        <v>182</v>
      </c>
      <c r="E25" s="5">
        <v>175.7</v>
      </c>
      <c r="F25" s="5">
        <v>163.4</v>
      </c>
      <c r="G25" s="11">
        <f t="shared" si="14"/>
        <v>0.38610038610037983</v>
      </c>
      <c r="H25" s="11">
        <f t="shared" si="15"/>
        <v>0.24539877300613847</v>
      </c>
      <c r="I25" s="11">
        <f t="shared" si="16"/>
        <v>-0.4532577903682784</v>
      </c>
      <c r="J25" s="57">
        <f t="shared" si="6"/>
        <v>103.58565737051792</v>
      </c>
      <c r="K25" s="57">
        <f t="shared" si="17"/>
        <v>0.84317995530287326</v>
      </c>
      <c r="L25" s="57">
        <f t="shared" si="7"/>
        <v>92.99943084803644</v>
      </c>
      <c r="M25" s="57">
        <f t="shared" si="18"/>
        <v>0.70183769741369995</v>
      </c>
      <c r="Z25" s="34" t="s">
        <v>41</v>
      </c>
      <c r="AA25" s="5">
        <f t="shared" si="19"/>
        <v>178.8</v>
      </c>
      <c r="AB25" s="5">
        <f t="shared" si="20"/>
        <v>174.3</v>
      </c>
      <c r="AC25" s="11">
        <f t="shared" si="21"/>
        <v>161.9</v>
      </c>
      <c r="AD25" s="11">
        <f t="shared" si="22"/>
        <v>-0.44543429844097049</v>
      </c>
      <c r="AE25" s="57">
        <f t="shared" si="23"/>
        <v>0.5190311418685154</v>
      </c>
      <c r="AF25" s="57">
        <f t="shared" si="24"/>
        <v>102.58175559380378</v>
      </c>
    </row>
    <row r="26" spans="1:32">
      <c r="A26" s="5" t="s">
        <v>34</v>
      </c>
      <c r="B26" s="5">
        <v>2023</v>
      </c>
      <c r="C26" s="5" t="s">
        <v>31</v>
      </c>
      <c r="D26" s="5">
        <v>182</v>
      </c>
      <c r="E26" s="5">
        <v>176.5</v>
      </c>
      <c r="F26" s="5">
        <v>163.6</v>
      </c>
      <c r="G26" s="11">
        <f t="shared" si="14"/>
        <v>0</v>
      </c>
      <c r="H26" s="11">
        <f t="shared" si="15"/>
        <v>0.12239902080782657</v>
      </c>
      <c r="I26" s="11">
        <f t="shared" si="16"/>
        <v>0.45532157085942598</v>
      </c>
      <c r="J26" s="57">
        <f t="shared" si="6"/>
        <v>103.11614730878188</v>
      </c>
      <c r="K26" s="57">
        <f t="shared" si="17"/>
        <v>-0.45325779036825908</v>
      </c>
      <c r="L26" s="57">
        <f t="shared" si="7"/>
        <v>92.691218130311611</v>
      </c>
      <c r="M26" s="57">
        <f t="shared" si="18"/>
        <v>-0.33141355265760281</v>
      </c>
      <c r="Z26" s="34" t="s">
        <v>42</v>
      </c>
      <c r="AA26" s="5">
        <f t="shared" si="19"/>
        <v>179.5</v>
      </c>
      <c r="AB26" s="5">
        <f t="shared" si="20"/>
        <v>175.3</v>
      </c>
      <c r="AC26" s="11">
        <f t="shared" si="21"/>
        <v>162.30000000000001</v>
      </c>
      <c r="AD26" s="11">
        <f t="shared" si="22"/>
        <v>0.39149888143176093</v>
      </c>
      <c r="AE26" s="57">
        <f t="shared" si="23"/>
        <v>0.57372346528973028</v>
      </c>
      <c r="AF26" s="57">
        <f t="shared" si="24"/>
        <v>102.39589275527665</v>
      </c>
    </row>
    <row r="27" spans="1:32">
      <c r="A27" s="5" t="s">
        <v>34</v>
      </c>
      <c r="B27" s="5">
        <v>2023</v>
      </c>
      <c r="C27" s="5" t="s">
        <v>35</v>
      </c>
      <c r="D27" s="5">
        <v>182.1</v>
      </c>
      <c r="E27" s="5">
        <v>177.2</v>
      </c>
      <c r="F27" s="5">
        <v>164.2</v>
      </c>
      <c r="G27" s="11">
        <f t="shared" si="14"/>
        <v>5.4945054945051822E-2</v>
      </c>
      <c r="H27" s="11">
        <f t="shared" si="15"/>
        <v>0.36674816625916523</v>
      </c>
      <c r="I27" s="11">
        <f t="shared" si="16"/>
        <v>0.39660056657223147</v>
      </c>
      <c r="J27" s="57">
        <f t="shared" si="6"/>
        <v>102.76523702031604</v>
      </c>
      <c r="K27" s="57">
        <f t="shared" si="17"/>
        <v>-0.34030585667154301</v>
      </c>
      <c r="L27" s="57">
        <f t="shared" si="7"/>
        <v>92.663656884875849</v>
      </c>
      <c r="M27" s="57">
        <f t="shared" si="18"/>
        <v>-2.9734473223790518E-2</v>
      </c>
      <c r="Z27" s="34" t="s">
        <v>43</v>
      </c>
      <c r="AA27" s="5">
        <f t="shared" si="19"/>
        <v>180.5</v>
      </c>
      <c r="AB27" s="5">
        <f t="shared" si="20"/>
        <v>176.7</v>
      </c>
      <c r="AC27" s="11">
        <f t="shared" si="21"/>
        <v>162.9</v>
      </c>
      <c r="AD27" s="11">
        <f t="shared" si="22"/>
        <v>0.55710306406685239</v>
      </c>
      <c r="AE27" s="57">
        <f t="shared" si="23"/>
        <v>0.79863091842554312</v>
      </c>
      <c r="AF27" s="57">
        <f t="shared" si="24"/>
        <v>102.15053763440861</v>
      </c>
    </row>
    <row r="28" spans="1:32">
      <c r="A28" s="5" t="s">
        <v>34</v>
      </c>
      <c r="B28" s="5">
        <v>2023</v>
      </c>
      <c r="C28" s="5" t="s">
        <v>36</v>
      </c>
      <c r="D28" s="5">
        <v>181.9</v>
      </c>
      <c r="E28" s="5">
        <v>177.2</v>
      </c>
      <c r="F28" s="5">
        <v>164.2</v>
      </c>
      <c r="G28" s="11">
        <f t="shared" si="14"/>
        <v>-0.10982976386600145</v>
      </c>
      <c r="H28" s="11">
        <f t="shared" si="15"/>
        <v>0</v>
      </c>
      <c r="I28" s="11">
        <f t="shared" si="16"/>
        <v>0</v>
      </c>
      <c r="J28" s="57">
        <f t="shared" si="6"/>
        <v>102.65237020316027</v>
      </c>
      <c r="K28" s="57">
        <f t="shared" si="17"/>
        <v>-0.1098297638660134</v>
      </c>
      <c r="L28" s="57">
        <f t="shared" si="7"/>
        <v>92.663656884875849</v>
      </c>
      <c r="M28" s="57">
        <f t="shared" si="18"/>
        <v>0</v>
      </c>
      <c r="Z28" s="34" t="s">
        <v>45</v>
      </c>
      <c r="AA28" s="5">
        <f t="shared" si="19"/>
        <v>181.3</v>
      </c>
      <c r="AB28" s="5">
        <f t="shared" si="20"/>
        <v>176.5</v>
      </c>
      <c r="AC28" s="11">
        <f t="shared" si="21"/>
        <v>163</v>
      </c>
      <c r="AD28" s="11">
        <f t="shared" si="22"/>
        <v>0.44321329639889823</v>
      </c>
      <c r="AE28" s="57">
        <f t="shared" si="23"/>
        <v>-0.11318619128465683</v>
      </c>
      <c r="AF28" s="57">
        <f t="shared" si="24"/>
        <v>102.71954674220964</v>
      </c>
    </row>
    <row r="29" spans="1:32">
      <c r="A29" s="5" t="s">
        <v>34</v>
      </c>
      <c r="B29" s="5">
        <v>2023</v>
      </c>
      <c r="C29" s="5" t="s">
        <v>37</v>
      </c>
      <c r="D29" s="5">
        <v>181.7</v>
      </c>
      <c r="E29" s="5">
        <v>178.1</v>
      </c>
      <c r="F29" s="5">
        <v>164.5</v>
      </c>
      <c r="G29" s="11">
        <f t="shared" si="14"/>
        <v>-0.10995052226499014</v>
      </c>
      <c r="H29" s="11">
        <f t="shared" si="15"/>
        <v>0.18270401948843568</v>
      </c>
      <c r="I29" s="11">
        <f t="shared" si="16"/>
        <v>0.50790067720090615</v>
      </c>
      <c r="J29" s="57">
        <f t="shared" si="6"/>
        <v>102.02133632790566</v>
      </c>
      <c r="K29" s="57">
        <f t="shared" si="17"/>
        <v>-0.61472898677909804</v>
      </c>
      <c r="L29" s="57">
        <f t="shared" si="7"/>
        <v>92.363840539023016</v>
      </c>
      <c r="M29" s="57">
        <f t="shared" si="18"/>
        <v>-0.32355332816761212</v>
      </c>
      <c r="Z29" s="34" t="s">
        <v>46</v>
      </c>
      <c r="AA29" s="5">
        <f t="shared" si="19"/>
        <v>182</v>
      </c>
      <c r="AB29" s="5">
        <f t="shared" si="20"/>
        <v>175.7</v>
      </c>
      <c r="AC29" s="11">
        <f t="shared" si="21"/>
        <v>163.4</v>
      </c>
      <c r="AD29" s="11">
        <f t="shared" si="22"/>
        <v>0.38610038610037983</v>
      </c>
      <c r="AE29" s="57">
        <f t="shared" si="23"/>
        <v>-0.4532577903682784</v>
      </c>
      <c r="AF29" s="57">
        <f t="shared" si="24"/>
        <v>103.58565737051792</v>
      </c>
    </row>
    <row r="30" spans="1:32">
      <c r="A30" s="5" t="s">
        <v>34</v>
      </c>
      <c r="B30" s="5">
        <v>2023</v>
      </c>
      <c r="C30" s="5" t="s">
        <v>38</v>
      </c>
      <c r="D30" s="5">
        <v>182.8</v>
      </c>
      <c r="E30" s="5">
        <v>179.1</v>
      </c>
      <c r="F30" s="5">
        <v>164.8</v>
      </c>
      <c r="G30" s="11">
        <f t="shared" si="14"/>
        <v>0.60539350577876871</v>
      </c>
      <c r="H30" s="11">
        <f t="shared" si="15"/>
        <v>0.18237082066869992</v>
      </c>
      <c r="I30" s="11">
        <f t="shared" si="16"/>
        <v>0.56148231330713083</v>
      </c>
      <c r="J30" s="57">
        <f t="shared" si="6"/>
        <v>102.06588498045785</v>
      </c>
      <c r="K30" s="57">
        <f t="shared" si="17"/>
        <v>4.3666015517588377E-2</v>
      </c>
      <c r="L30" s="57">
        <f t="shared" si="7"/>
        <v>92.015633724176453</v>
      </c>
      <c r="M30" s="57">
        <f t="shared" si="18"/>
        <v>-0.37699473388554927</v>
      </c>
    </row>
  </sheetData>
  <conditionalFormatting sqref="AC2:AC13">
    <cfRule type="cellIs" dxfId="5" priority="9" operator="greaterThan">
      <formula>1.429946165</formula>
    </cfRule>
  </conditionalFormatting>
  <conditionalFormatting sqref="AC18:AC29">
    <cfRule type="cellIs" dxfId="4" priority="7" operator="greaterThan">
      <formula>1.2725</formula>
    </cfRule>
  </conditionalFormatting>
  <conditionalFormatting sqref="AD3:AD13">
    <cfRule type="cellIs" dxfId="3" priority="8" operator="greaterThan">
      <formula>0.6013</formula>
    </cfRule>
  </conditionalFormatting>
  <conditionalFormatting sqref="AD18:AD29">
    <cfRule type="cellIs" dxfId="2" priority="6" operator="greaterThan">
      <formula>0.4889</formula>
    </cfRule>
  </conditionalFormatting>
  <conditionalFormatting sqref="AE2:AE1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18:AE29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3:AM7">
    <cfRule type="cellIs" dxfId="1" priority="5" operator="greaterThan">
      <formula>0.2477</formula>
    </cfRule>
  </conditionalFormatting>
  <conditionalFormatting sqref="AN3:AN8">
    <cfRule type="cellIs" dxfId="0" priority="4" operator="greaterThan">
      <formula>0.280741157</formula>
    </cfRule>
  </conditionalFormatting>
  <conditionalFormatting sqref="AO3:AO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5138-D82A-49C5-B234-4BBD46BDDBF1}">
  <dimension ref="A1:J30"/>
  <sheetViews>
    <sheetView workbookViewId="0">
      <selection activeCell="B8" sqref="B8"/>
    </sheetView>
  </sheetViews>
  <sheetFormatPr defaultRowHeight="14.4"/>
  <cols>
    <col min="2" max="2" width="6.88671875" bestFit="1" customWidth="1"/>
    <col min="3" max="3" width="7.5546875" bestFit="1" customWidth="1"/>
    <col min="4" max="4" width="7.6640625" bestFit="1" customWidth="1"/>
    <col min="5" max="6" width="7" bestFit="1" customWidth="1"/>
    <col min="7" max="7" width="6.44140625" bestFit="1" customWidth="1"/>
    <col min="8" max="8" width="11.21875" bestFit="1" customWidth="1"/>
  </cols>
  <sheetData>
    <row r="1" spans="1:10">
      <c r="A1" t="s">
        <v>2</v>
      </c>
      <c r="B1" t="s">
        <v>1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58</v>
      </c>
    </row>
    <row r="2" spans="1:10">
      <c r="A2" t="s">
        <v>31</v>
      </c>
      <c r="B2">
        <v>2021</v>
      </c>
      <c r="C2">
        <v>55.04</v>
      </c>
      <c r="D2">
        <v>51.53</v>
      </c>
      <c r="E2">
        <v>57.31</v>
      </c>
      <c r="F2">
        <v>50.66</v>
      </c>
      <c r="G2" t="s">
        <v>86</v>
      </c>
      <c r="H2" s="56">
        <v>6.2100000000000002E-2</v>
      </c>
      <c r="J2" s="58"/>
    </row>
    <row r="3" spans="1:10">
      <c r="A3" t="s">
        <v>35</v>
      </c>
      <c r="B3">
        <v>2021</v>
      </c>
      <c r="C3">
        <v>64.42</v>
      </c>
      <c r="D3">
        <v>54.7</v>
      </c>
      <c r="E3">
        <v>66.819999999999993</v>
      </c>
      <c r="F3">
        <v>54.4</v>
      </c>
      <c r="G3" t="s">
        <v>87</v>
      </c>
      <c r="H3" s="56">
        <f>(C3-C2)/C2</f>
        <v>0.17042151162790703</v>
      </c>
      <c r="I3" s="56">
        <f t="shared" ref="I3:I30" si="0">(C2-C3)/C2*100</f>
        <v>-17.042151162790702</v>
      </c>
      <c r="J3" s="58"/>
    </row>
    <row r="4" spans="1:10">
      <c r="A4" t="s">
        <v>36</v>
      </c>
      <c r="B4">
        <v>2021</v>
      </c>
      <c r="C4">
        <v>62.74</v>
      </c>
      <c r="D4">
        <v>64</v>
      </c>
      <c r="E4">
        <v>70.67</v>
      </c>
      <c r="F4">
        <v>60.33</v>
      </c>
      <c r="G4" t="s">
        <v>88</v>
      </c>
      <c r="H4" s="56">
        <f t="shared" ref="H4:H30" si="1">(C4-C3)/C3</f>
        <v>-2.6078857497671526E-2</v>
      </c>
      <c r="I4" s="56">
        <f t="shared" si="0"/>
        <v>2.6078857497671528</v>
      </c>
      <c r="J4" s="58"/>
    </row>
    <row r="5" spans="1:10">
      <c r="A5" t="s">
        <v>37</v>
      </c>
      <c r="B5">
        <v>2021</v>
      </c>
      <c r="C5">
        <v>66.760000000000005</v>
      </c>
      <c r="D5">
        <v>62.68</v>
      </c>
      <c r="E5">
        <v>68.44</v>
      </c>
      <c r="F5">
        <v>60.93</v>
      </c>
      <c r="G5" t="s">
        <v>89</v>
      </c>
      <c r="H5" s="56">
        <f t="shared" si="1"/>
        <v>6.4073956008925778E-2</v>
      </c>
      <c r="I5" s="56">
        <f t="shared" si="0"/>
        <v>-6.4073956008925776</v>
      </c>
      <c r="J5" s="58"/>
    </row>
    <row r="6" spans="1:10">
      <c r="A6" t="s">
        <v>38</v>
      </c>
      <c r="B6">
        <v>2021</v>
      </c>
      <c r="C6">
        <v>68.95</v>
      </c>
      <c r="D6">
        <v>66.239999999999995</v>
      </c>
      <c r="E6">
        <v>69.900000000000006</v>
      </c>
      <c r="F6">
        <v>64.5</v>
      </c>
      <c r="G6" t="s">
        <v>90</v>
      </c>
      <c r="H6" s="56">
        <f t="shared" si="1"/>
        <v>3.2804074295985586E-2</v>
      </c>
      <c r="I6" s="56">
        <f t="shared" si="0"/>
        <v>-3.2804074295985588</v>
      </c>
      <c r="J6" s="58"/>
    </row>
    <row r="7" spans="1:10">
      <c r="A7" t="s">
        <v>39</v>
      </c>
      <c r="B7">
        <v>2021</v>
      </c>
      <c r="C7">
        <v>74.62</v>
      </c>
      <c r="D7">
        <v>69.069999999999993</v>
      </c>
      <c r="E7">
        <v>75.77</v>
      </c>
      <c r="F7">
        <v>68.98</v>
      </c>
      <c r="G7" t="s">
        <v>91</v>
      </c>
      <c r="H7" s="56">
        <f t="shared" si="1"/>
        <v>8.2233502538071088E-2</v>
      </c>
      <c r="I7" s="56">
        <f t="shared" si="0"/>
        <v>-8.2233502538071086</v>
      </c>
      <c r="J7" s="58"/>
    </row>
    <row r="8" spans="1:10">
      <c r="A8" t="s">
        <v>40</v>
      </c>
      <c r="B8">
        <v>2021</v>
      </c>
      <c r="C8">
        <v>75.41</v>
      </c>
      <c r="D8">
        <v>73.83</v>
      </c>
      <c r="E8">
        <v>76.8</v>
      </c>
      <c r="F8">
        <v>66.91</v>
      </c>
      <c r="G8" t="s">
        <v>92</v>
      </c>
      <c r="H8" s="56">
        <f t="shared" si="1"/>
        <v>1.0586974001608041E-2</v>
      </c>
      <c r="I8" s="56">
        <f t="shared" si="0"/>
        <v>-1.058697400160804</v>
      </c>
      <c r="J8" s="58"/>
    </row>
    <row r="9" spans="1:10">
      <c r="A9" t="s">
        <v>41</v>
      </c>
      <c r="B9">
        <v>2021</v>
      </c>
      <c r="C9">
        <v>71.63</v>
      </c>
      <c r="D9">
        <v>74.45</v>
      </c>
      <c r="E9">
        <v>74.52</v>
      </c>
      <c r="F9">
        <v>64.2</v>
      </c>
      <c r="G9" t="s">
        <v>93</v>
      </c>
      <c r="H9" s="56">
        <f t="shared" si="1"/>
        <v>-5.012597798700439E-2</v>
      </c>
      <c r="I9" s="56">
        <f t="shared" si="0"/>
        <v>5.0125977987004386</v>
      </c>
      <c r="J9" s="58"/>
    </row>
    <row r="10" spans="1:10">
      <c r="A10" t="s">
        <v>42</v>
      </c>
      <c r="B10">
        <v>2021</v>
      </c>
      <c r="C10">
        <v>78.31</v>
      </c>
      <c r="D10">
        <v>70.98</v>
      </c>
      <c r="E10">
        <v>79.95</v>
      </c>
      <c r="F10">
        <v>69.849999999999994</v>
      </c>
      <c r="G10" t="s">
        <v>94</v>
      </c>
      <c r="H10" s="56">
        <f t="shared" si="1"/>
        <v>9.3257015217087916E-2</v>
      </c>
      <c r="I10" s="56">
        <f t="shared" si="0"/>
        <v>-9.3257015217087922</v>
      </c>
      <c r="J10" s="58"/>
    </row>
    <row r="11" spans="1:10">
      <c r="A11" t="s">
        <v>43</v>
      </c>
      <c r="B11">
        <v>2021</v>
      </c>
      <c r="C11">
        <v>83.72</v>
      </c>
      <c r="D11">
        <v>77.67</v>
      </c>
      <c r="E11">
        <v>85.77</v>
      </c>
      <c r="F11">
        <v>76.78</v>
      </c>
      <c r="G11" t="s">
        <v>95</v>
      </c>
      <c r="H11" s="56">
        <f t="shared" si="1"/>
        <v>6.9084408121568075E-2</v>
      </c>
      <c r="I11" s="56">
        <f t="shared" si="0"/>
        <v>-6.9084408121568073</v>
      </c>
      <c r="J11" s="58"/>
    </row>
    <row r="12" spans="1:10">
      <c r="A12" t="s">
        <v>45</v>
      </c>
      <c r="B12">
        <v>2021</v>
      </c>
      <c r="C12">
        <v>69.23</v>
      </c>
      <c r="D12">
        <v>82.44</v>
      </c>
      <c r="E12">
        <v>84.26</v>
      </c>
      <c r="F12">
        <v>67.45</v>
      </c>
      <c r="G12" t="s">
        <v>96</v>
      </c>
      <c r="H12" s="56">
        <f t="shared" si="1"/>
        <v>-0.17307692307692302</v>
      </c>
      <c r="I12" s="56">
        <f t="shared" si="0"/>
        <v>17.307692307692303</v>
      </c>
      <c r="J12" s="58"/>
    </row>
    <row r="13" spans="1:10">
      <c r="A13" t="s">
        <v>46</v>
      </c>
      <c r="B13">
        <v>2021</v>
      </c>
      <c r="C13">
        <v>77.349999999999994</v>
      </c>
      <c r="D13">
        <v>69.37</v>
      </c>
      <c r="E13">
        <v>80.03</v>
      </c>
      <c r="F13">
        <v>65.48</v>
      </c>
      <c r="G13" t="s">
        <v>97</v>
      </c>
      <c r="H13" s="56">
        <f t="shared" si="1"/>
        <v>0.11729019211324555</v>
      </c>
      <c r="I13" s="56">
        <f t="shared" si="0"/>
        <v>-11.729019211324555</v>
      </c>
      <c r="J13" s="58"/>
    </row>
    <row r="14" spans="1:10">
      <c r="A14" t="s">
        <v>31</v>
      </c>
      <c r="B14">
        <v>2022</v>
      </c>
      <c r="C14">
        <v>89.26</v>
      </c>
      <c r="D14">
        <v>77.75</v>
      </c>
      <c r="E14">
        <v>90.27</v>
      </c>
      <c r="F14">
        <v>76.599999999999994</v>
      </c>
      <c r="G14" t="s">
        <v>98</v>
      </c>
      <c r="H14" s="56">
        <f t="shared" si="1"/>
        <v>0.15397543632837765</v>
      </c>
      <c r="I14" s="56">
        <f t="shared" si="0"/>
        <v>-15.397543632837765</v>
      </c>
      <c r="J14" s="58"/>
    </row>
    <row r="15" spans="1:10">
      <c r="A15" t="s">
        <v>35</v>
      </c>
      <c r="B15">
        <v>2022</v>
      </c>
      <c r="C15">
        <v>97.97</v>
      </c>
      <c r="D15">
        <v>88.22</v>
      </c>
      <c r="E15">
        <v>102.26</v>
      </c>
      <c r="F15">
        <v>86.31</v>
      </c>
      <c r="G15" t="s">
        <v>99</v>
      </c>
      <c r="H15" s="56">
        <f t="shared" si="1"/>
        <v>9.7580103069683996E-2</v>
      </c>
      <c r="I15" s="56">
        <f t="shared" si="0"/>
        <v>-9.7580103069683997</v>
      </c>
      <c r="J15" s="58"/>
    </row>
    <row r="16" spans="1:10">
      <c r="A16" t="s">
        <v>36</v>
      </c>
      <c r="B16">
        <v>2022</v>
      </c>
      <c r="C16">
        <v>104.71</v>
      </c>
      <c r="D16">
        <v>95.48</v>
      </c>
      <c r="E16">
        <v>134.91</v>
      </c>
      <c r="F16">
        <v>94.61</v>
      </c>
      <c r="G16" t="s">
        <v>100</v>
      </c>
      <c r="H16" s="56">
        <f t="shared" si="1"/>
        <v>6.8796570378687305E-2</v>
      </c>
      <c r="I16" s="56">
        <f t="shared" si="0"/>
        <v>-6.8796570378687303</v>
      </c>
      <c r="J16" s="58"/>
    </row>
    <row r="17" spans="1:10">
      <c r="A17" t="s">
        <v>37</v>
      </c>
      <c r="B17">
        <v>2022</v>
      </c>
      <c r="C17">
        <v>107.14</v>
      </c>
      <c r="D17">
        <v>103.31</v>
      </c>
      <c r="E17">
        <v>113.61</v>
      </c>
      <c r="F17">
        <v>97.18</v>
      </c>
      <c r="G17" t="s">
        <v>101</v>
      </c>
      <c r="H17" s="56">
        <f t="shared" si="1"/>
        <v>2.3206952535574511E-2</v>
      </c>
      <c r="I17" s="56">
        <f t="shared" si="0"/>
        <v>-2.3206952535574512</v>
      </c>
      <c r="J17" s="58"/>
    </row>
    <row r="18" spans="1:10">
      <c r="A18" t="s">
        <v>38</v>
      </c>
      <c r="B18">
        <v>2022</v>
      </c>
      <c r="C18">
        <v>115.6</v>
      </c>
      <c r="D18">
        <v>104.53</v>
      </c>
      <c r="E18">
        <v>120.8</v>
      </c>
      <c r="F18">
        <v>100.14</v>
      </c>
      <c r="G18" t="s">
        <v>102</v>
      </c>
      <c r="H18" s="56">
        <f t="shared" si="1"/>
        <v>7.8962105656150777E-2</v>
      </c>
      <c r="I18" s="56">
        <f t="shared" si="0"/>
        <v>-7.8962105656150774</v>
      </c>
      <c r="J18" s="58"/>
    </row>
    <row r="19" spans="1:10">
      <c r="A19" t="s">
        <v>39</v>
      </c>
      <c r="B19">
        <v>2022</v>
      </c>
      <c r="C19">
        <v>109.03</v>
      </c>
      <c r="D19">
        <v>113.14</v>
      </c>
      <c r="E19">
        <v>121.74</v>
      </c>
      <c r="F19">
        <v>104.35</v>
      </c>
      <c r="G19" t="s">
        <v>103</v>
      </c>
      <c r="H19" s="56">
        <f t="shared" si="1"/>
        <v>-5.6833910034602017E-2</v>
      </c>
      <c r="I19" s="56">
        <f t="shared" si="0"/>
        <v>5.6833910034602013</v>
      </c>
      <c r="J19" s="58"/>
    </row>
    <row r="20" spans="1:10">
      <c r="A20" t="s">
        <v>40</v>
      </c>
      <c r="B20">
        <v>2022</v>
      </c>
      <c r="C20">
        <v>103.97</v>
      </c>
      <c r="D20">
        <v>106.03</v>
      </c>
      <c r="E20">
        <v>110.72</v>
      </c>
      <c r="F20">
        <v>91.22</v>
      </c>
      <c r="G20" t="s">
        <v>104</v>
      </c>
      <c r="H20" s="56">
        <f t="shared" si="1"/>
        <v>-4.6409245161882072E-2</v>
      </c>
      <c r="I20" s="56">
        <f t="shared" si="0"/>
        <v>4.6409245161882069</v>
      </c>
      <c r="J20" s="58"/>
    </row>
    <row r="21" spans="1:10">
      <c r="A21" t="s">
        <v>41</v>
      </c>
      <c r="B21">
        <v>2022</v>
      </c>
      <c r="C21">
        <v>95.64</v>
      </c>
      <c r="D21">
        <v>101.34</v>
      </c>
      <c r="E21">
        <v>103.48</v>
      </c>
      <c r="F21">
        <v>90.95</v>
      </c>
      <c r="G21" t="s">
        <v>105</v>
      </c>
      <c r="H21" s="56">
        <f t="shared" si="1"/>
        <v>-8.0119265172645934E-2</v>
      </c>
      <c r="I21" s="56">
        <f t="shared" si="0"/>
        <v>8.0119265172645928</v>
      </c>
      <c r="J21" s="58"/>
    </row>
    <row r="22" spans="1:10">
      <c r="A22" t="s">
        <v>42</v>
      </c>
      <c r="B22">
        <v>2022</v>
      </c>
      <c r="C22">
        <v>85.14</v>
      </c>
      <c r="D22">
        <v>93.88</v>
      </c>
      <c r="E22">
        <v>95.54</v>
      </c>
      <c r="F22">
        <v>82.44</v>
      </c>
      <c r="G22" t="s">
        <v>106</v>
      </c>
      <c r="H22" s="56">
        <f t="shared" si="1"/>
        <v>-0.10978670012547051</v>
      </c>
      <c r="I22" s="56">
        <f t="shared" si="0"/>
        <v>10.978670012547051</v>
      </c>
      <c r="J22" s="58"/>
    </row>
    <row r="23" spans="1:10">
      <c r="A23" t="s">
        <v>43</v>
      </c>
      <c r="B23">
        <v>2022</v>
      </c>
      <c r="C23">
        <v>92.81</v>
      </c>
      <c r="D23">
        <v>84.21</v>
      </c>
      <c r="E23">
        <v>96.75</v>
      </c>
      <c r="F23">
        <v>84.21</v>
      </c>
      <c r="G23" t="s">
        <v>107</v>
      </c>
      <c r="H23" s="56">
        <f t="shared" si="1"/>
        <v>9.0086915668311035E-2</v>
      </c>
      <c r="I23" s="56">
        <f t="shared" si="0"/>
        <v>-9.0086915668311036</v>
      </c>
      <c r="J23" s="58"/>
    </row>
    <row r="24" spans="1:10">
      <c r="A24" t="s">
        <v>45</v>
      </c>
      <c r="B24">
        <v>2022</v>
      </c>
      <c r="C24">
        <v>86.97</v>
      </c>
      <c r="D24">
        <v>90.87</v>
      </c>
      <c r="E24">
        <v>97.85</v>
      </c>
      <c r="F24">
        <v>80.81</v>
      </c>
      <c r="G24" t="s">
        <v>108</v>
      </c>
      <c r="H24" s="56">
        <f t="shared" si="1"/>
        <v>-6.2924253851955644E-2</v>
      </c>
      <c r="I24" s="56">
        <f t="shared" si="0"/>
        <v>6.292425385195564</v>
      </c>
      <c r="J24" s="58"/>
    </row>
    <row r="25" spans="1:10">
      <c r="A25" t="s">
        <v>46</v>
      </c>
      <c r="B25">
        <v>2022</v>
      </c>
      <c r="C25">
        <v>85.65</v>
      </c>
      <c r="D25">
        <v>86.89</v>
      </c>
      <c r="E25">
        <v>89.18</v>
      </c>
      <c r="F25">
        <v>75.64</v>
      </c>
      <c r="G25" t="s">
        <v>109</v>
      </c>
      <c r="H25" s="56">
        <f t="shared" si="1"/>
        <v>-1.5177647464642901E-2</v>
      </c>
      <c r="I25" s="56">
        <f t="shared" si="0"/>
        <v>1.51776474646429</v>
      </c>
      <c r="J25" s="58"/>
    </row>
    <row r="26" spans="1:10">
      <c r="A26" t="s">
        <v>31</v>
      </c>
      <c r="B26">
        <v>2023</v>
      </c>
      <c r="C26">
        <v>85.46</v>
      </c>
      <c r="D26">
        <v>85.69</v>
      </c>
      <c r="E26">
        <v>89</v>
      </c>
      <c r="F26">
        <v>77.77</v>
      </c>
      <c r="G26" t="s">
        <v>110</v>
      </c>
      <c r="H26" s="56">
        <f t="shared" si="1"/>
        <v>-2.2183304144776641E-3</v>
      </c>
      <c r="I26" s="56">
        <f t="shared" si="0"/>
        <v>0.22183304144776642</v>
      </c>
      <c r="J26" s="58"/>
    </row>
    <row r="27" spans="1:10">
      <c r="A27" t="s">
        <v>35</v>
      </c>
      <c r="B27">
        <v>2023</v>
      </c>
      <c r="C27">
        <v>83.45</v>
      </c>
      <c r="D27">
        <v>85.28</v>
      </c>
      <c r="E27">
        <v>86.55</v>
      </c>
      <c r="F27">
        <v>78.84</v>
      </c>
      <c r="G27" t="s">
        <v>107</v>
      </c>
      <c r="H27" s="56">
        <f t="shared" si="1"/>
        <v>-2.3519775333489246E-2</v>
      </c>
      <c r="I27" s="56">
        <f t="shared" si="0"/>
        <v>2.3519775333489248</v>
      </c>
      <c r="J27" s="58"/>
    </row>
    <row r="28" spans="1:10">
      <c r="A28" t="s">
        <v>36</v>
      </c>
      <c r="B28">
        <v>2023</v>
      </c>
      <c r="C28">
        <v>79.89</v>
      </c>
      <c r="D28">
        <v>82.41</v>
      </c>
      <c r="E28">
        <v>86.17</v>
      </c>
      <c r="F28">
        <v>70.06</v>
      </c>
      <c r="G28" t="s">
        <v>111</v>
      </c>
      <c r="H28" s="56">
        <f t="shared" si="1"/>
        <v>-4.2660275614140229E-2</v>
      </c>
      <c r="I28" s="56">
        <f t="shared" si="0"/>
        <v>4.2660275614140231</v>
      </c>
      <c r="J28" s="58"/>
    </row>
    <row r="29" spans="1:10">
      <c r="A29" t="s">
        <v>37</v>
      </c>
      <c r="B29">
        <v>2023</v>
      </c>
      <c r="C29">
        <v>80.33</v>
      </c>
      <c r="D29">
        <v>85</v>
      </c>
      <c r="E29">
        <v>86.9</v>
      </c>
      <c r="F29">
        <v>77.36</v>
      </c>
      <c r="G29" t="s">
        <v>98</v>
      </c>
      <c r="H29" s="56">
        <f t="shared" si="1"/>
        <v>5.5075729127550101E-3</v>
      </c>
      <c r="I29" s="56">
        <f t="shared" si="0"/>
        <v>-0.55075729127550099</v>
      </c>
      <c r="J29" s="58"/>
    </row>
    <row r="30" spans="1:10">
      <c r="A30" t="s">
        <v>38</v>
      </c>
      <c r="B30">
        <v>2023</v>
      </c>
      <c r="C30">
        <v>72.599999999999994</v>
      </c>
      <c r="D30">
        <v>79.69</v>
      </c>
      <c r="E30">
        <v>79.819999999999993</v>
      </c>
      <c r="F30">
        <v>71.2</v>
      </c>
      <c r="G30" t="s">
        <v>112</v>
      </c>
      <c r="H30" s="56">
        <f t="shared" si="1"/>
        <v>-9.6228059255570819E-2</v>
      </c>
      <c r="I30" s="56">
        <f t="shared" si="0"/>
        <v>9.6228059255570813</v>
      </c>
      <c r="J30" s="58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9EB2-3A4A-4FFB-A4B7-FEC6FD64AD7D}">
  <dimension ref="A1:M30"/>
  <sheetViews>
    <sheetView workbookViewId="0">
      <selection activeCell="N18" sqref="N18"/>
    </sheetView>
  </sheetViews>
  <sheetFormatPr defaultRowHeight="14.4"/>
  <cols>
    <col min="2" max="2" width="6.88671875" bestFit="1" customWidth="1"/>
    <col min="3" max="3" width="10.88671875" customWidth="1"/>
    <col min="4" max="4" width="9.33203125" customWidth="1"/>
    <col min="5" max="5" width="12.33203125" customWidth="1"/>
    <col min="6" max="6" width="14.5546875" customWidth="1"/>
    <col min="7" max="7" width="13.88671875" customWidth="1"/>
    <col min="8" max="8" width="12.33203125" customWidth="1"/>
    <col min="9" max="9" width="12.88671875" bestFit="1" customWidth="1"/>
    <col min="10" max="10" width="13.6640625" bestFit="1" customWidth="1"/>
    <col min="11" max="11" width="14.33203125" bestFit="1" customWidth="1"/>
    <col min="12" max="12" width="14.33203125" customWidth="1"/>
  </cols>
  <sheetData>
    <row r="1" spans="1:13">
      <c r="A1" t="s">
        <v>2</v>
      </c>
      <c r="B1" t="s">
        <v>1</v>
      </c>
      <c r="C1" t="s">
        <v>78</v>
      </c>
      <c r="D1" t="s">
        <v>58</v>
      </c>
      <c r="E1" t="s">
        <v>121</v>
      </c>
      <c r="F1" t="s">
        <v>114</v>
      </c>
      <c r="G1" t="s">
        <v>29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</row>
    <row r="2" spans="1:13">
      <c r="A2" t="s">
        <v>31</v>
      </c>
      <c r="B2">
        <v>2021</v>
      </c>
      <c r="C2" s="56">
        <v>94.024157660521297</v>
      </c>
      <c r="D2" s="5"/>
      <c r="E2" s="56">
        <v>90.209790209790214</v>
      </c>
      <c r="F2" s="57"/>
      <c r="G2" s="56">
        <v>157.30000000000001</v>
      </c>
      <c r="H2">
        <v>55.04</v>
      </c>
      <c r="I2" s="56">
        <f t="shared" ref="I2:I30" si="0">CORREL(H:H,G:G)</f>
        <v>0.53133340618988667</v>
      </c>
      <c r="J2" s="56">
        <f t="shared" ref="J2:J30" si="1">CORREL(C:C,H:H)</f>
        <v>0.59308505842814452</v>
      </c>
      <c r="K2" s="56">
        <f t="shared" ref="K2:K30" si="2">CORREL(E:E,H:H)</f>
        <v>0.52145150188852218</v>
      </c>
      <c r="L2" s="56"/>
    </row>
    <row r="3" spans="1:13">
      <c r="A3" t="s">
        <v>35</v>
      </c>
      <c r="B3">
        <v>2021</v>
      </c>
      <c r="C3" s="56">
        <v>97.318007662835257</v>
      </c>
      <c r="D3" s="57">
        <f>(C3-C2)/C2*100</f>
        <v>3.503195438566503</v>
      </c>
      <c r="E3" s="56">
        <v>92.656449553001281</v>
      </c>
      <c r="F3" s="57">
        <f>(E3-E2)/E2*100</f>
        <v>2.7121882641797099</v>
      </c>
      <c r="G3" s="56">
        <v>156.6</v>
      </c>
      <c r="H3">
        <v>64.42</v>
      </c>
      <c r="I3" s="56">
        <f t="shared" si="0"/>
        <v>0.53133340618988667</v>
      </c>
      <c r="J3" s="56">
        <f t="shared" si="1"/>
        <v>0.59308505842814452</v>
      </c>
      <c r="K3" s="56">
        <f t="shared" si="2"/>
        <v>0.52145150188852218</v>
      </c>
      <c r="L3" s="56">
        <v>-17.042151162790702</v>
      </c>
      <c r="M3" s="56"/>
    </row>
    <row r="4" spans="1:13">
      <c r="A4" t="s">
        <v>36</v>
      </c>
      <c r="B4">
        <v>2021</v>
      </c>
      <c r="C4" s="56">
        <v>99.170918367346928</v>
      </c>
      <c r="D4" s="57">
        <f t="shared" ref="D4:D30" si="3">(C4-C3)/C3*100</f>
        <v>1.9039751727462453</v>
      </c>
      <c r="E4" s="56">
        <v>93.239795918367335</v>
      </c>
      <c r="F4" s="57">
        <f t="shared" ref="F4:F30" si="4">(E4-E3)/E3*100</f>
        <v>0.62957988157356393</v>
      </c>
      <c r="G4" s="56">
        <v>156.80000000000001</v>
      </c>
      <c r="H4">
        <v>62.74</v>
      </c>
      <c r="I4" s="56">
        <f t="shared" si="0"/>
        <v>0.53133340618988667</v>
      </c>
      <c r="J4" s="56">
        <f t="shared" si="1"/>
        <v>0.59308505842814452</v>
      </c>
      <c r="K4" s="56">
        <f t="shared" si="2"/>
        <v>0.52145150188852218</v>
      </c>
      <c r="L4" s="56">
        <v>2.6078857497671528</v>
      </c>
      <c r="M4" s="56"/>
    </row>
    <row r="5" spans="1:13">
      <c r="A5" t="s">
        <v>37</v>
      </c>
      <c r="B5">
        <v>2021</v>
      </c>
      <c r="C5" s="56">
        <v>98.605830164765521</v>
      </c>
      <c r="D5" s="57">
        <f t="shared" si="3"/>
        <v>-0.56981241263514226</v>
      </c>
      <c r="E5" s="56">
        <v>92.902408111533575</v>
      </c>
      <c r="F5" s="57">
        <f t="shared" si="4"/>
        <v>-0.36184957668627654</v>
      </c>
      <c r="G5" s="56">
        <v>157.80000000000001</v>
      </c>
      <c r="H5">
        <v>66.760000000000005</v>
      </c>
      <c r="I5" s="56">
        <f t="shared" si="0"/>
        <v>0.53133340618988667</v>
      </c>
      <c r="J5" s="56">
        <f t="shared" si="1"/>
        <v>0.59308505842814452</v>
      </c>
      <c r="K5" s="56">
        <f t="shared" si="2"/>
        <v>0.52145150188852218</v>
      </c>
      <c r="L5" s="56">
        <v>-6.4073956008925776</v>
      </c>
      <c r="M5" s="56"/>
    </row>
    <row r="6" spans="1:13">
      <c r="A6" t="s">
        <v>38</v>
      </c>
      <c r="B6">
        <v>2021</v>
      </c>
      <c r="C6" s="56">
        <v>99.376558603491276</v>
      </c>
      <c r="D6" s="57">
        <f t="shared" si="3"/>
        <v>0.78162562744809805</v>
      </c>
      <c r="E6" s="56">
        <v>92.830423940149629</v>
      </c>
      <c r="F6" s="57">
        <f t="shared" si="4"/>
        <v>-7.7483644231832474E-2</v>
      </c>
      <c r="G6" s="56">
        <v>160.4</v>
      </c>
      <c r="H6">
        <v>68.95</v>
      </c>
      <c r="I6" s="56">
        <f t="shared" si="0"/>
        <v>0.53133340618988667</v>
      </c>
      <c r="J6" s="56">
        <f t="shared" si="1"/>
        <v>0.59308505842814452</v>
      </c>
      <c r="K6" s="56">
        <f t="shared" si="2"/>
        <v>0.52145150188852218</v>
      </c>
      <c r="L6" s="56">
        <v>-3.2804074295985588</v>
      </c>
      <c r="M6" s="56"/>
    </row>
    <row r="7" spans="1:13">
      <c r="A7" t="s">
        <v>39</v>
      </c>
      <c r="B7">
        <v>2021</v>
      </c>
      <c r="C7" s="56">
        <v>99.070055796652198</v>
      </c>
      <c r="D7" s="57">
        <f t="shared" si="3"/>
        <v>-0.30842566008148059</v>
      </c>
      <c r="E7" s="56">
        <v>93.428394296342205</v>
      </c>
      <c r="F7" s="57">
        <f t="shared" si="4"/>
        <v>0.64415342601268766</v>
      </c>
      <c r="G7" s="56">
        <v>161.30000000000001</v>
      </c>
      <c r="H7">
        <v>74.62</v>
      </c>
      <c r="I7" s="56">
        <f t="shared" si="0"/>
        <v>0.53133340618988667</v>
      </c>
      <c r="J7" s="56">
        <f t="shared" si="1"/>
        <v>0.59308505842814452</v>
      </c>
      <c r="K7" s="56">
        <f t="shared" si="2"/>
        <v>0.52145150188852218</v>
      </c>
      <c r="L7" s="56">
        <v>-8.2233502538071086</v>
      </c>
      <c r="M7" s="56"/>
    </row>
    <row r="8" spans="1:13">
      <c r="A8" t="s">
        <v>40</v>
      </c>
      <c r="B8">
        <v>2021</v>
      </c>
      <c r="C8" s="56">
        <v>98.892307692307696</v>
      </c>
      <c r="D8" s="57">
        <f t="shared" si="3"/>
        <v>-0.17941657841532041</v>
      </c>
      <c r="E8" s="56">
        <v>94.215384615384608</v>
      </c>
      <c r="F8" s="57">
        <f t="shared" si="4"/>
        <v>0.84234597519269783</v>
      </c>
      <c r="G8" s="56">
        <v>162.5</v>
      </c>
      <c r="H8">
        <v>75.41</v>
      </c>
      <c r="I8" s="56">
        <f t="shared" si="0"/>
        <v>0.53133340618988667</v>
      </c>
      <c r="J8" s="56">
        <f t="shared" si="1"/>
        <v>0.59308505842814452</v>
      </c>
      <c r="K8" s="56">
        <f t="shared" si="2"/>
        <v>0.52145150188852218</v>
      </c>
      <c r="L8" s="56">
        <v>-1.058697400160804</v>
      </c>
      <c r="M8" s="56"/>
    </row>
    <row r="9" spans="1:13">
      <c r="A9" t="s">
        <v>41</v>
      </c>
      <c r="B9">
        <v>2021</v>
      </c>
      <c r="C9" s="56">
        <v>99.632352941176478</v>
      </c>
      <c r="D9" s="57">
        <f t="shared" si="3"/>
        <v>0.7483344924777664</v>
      </c>
      <c r="E9" s="56">
        <v>94.362745098039227</v>
      </c>
      <c r="F9" s="57">
        <f t="shared" si="4"/>
        <v>0.15640808903576514</v>
      </c>
      <c r="G9" s="56">
        <v>163.19999999999999</v>
      </c>
      <c r="H9">
        <v>71.63</v>
      </c>
      <c r="I9" s="56">
        <f t="shared" si="0"/>
        <v>0.53133340618988667</v>
      </c>
      <c r="J9" s="56">
        <f t="shared" si="1"/>
        <v>0.59308505842814452</v>
      </c>
      <c r="K9" s="56">
        <f t="shared" si="2"/>
        <v>0.52145150188852218</v>
      </c>
      <c r="L9" s="56">
        <v>5.0125977987004386</v>
      </c>
      <c r="M9" s="56"/>
    </row>
    <row r="10" spans="1:13">
      <c r="A10" t="s">
        <v>42</v>
      </c>
      <c r="B10">
        <v>2021</v>
      </c>
      <c r="C10" s="56">
        <v>99.632352941176478</v>
      </c>
      <c r="D10" s="57">
        <f t="shared" si="3"/>
        <v>0</v>
      </c>
      <c r="E10" s="56">
        <v>94.362745098039227</v>
      </c>
      <c r="F10" s="57">
        <f t="shared" si="4"/>
        <v>0</v>
      </c>
      <c r="G10" s="56">
        <v>163.19999999999999</v>
      </c>
      <c r="H10">
        <v>78.31</v>
      </c>
      <c r="I10" s="56">
        <f t="shared" si="0"/>
        <v>0.53133340618988667</v>
      </c>
      <c r="J10" s="56">
        <f t="shared" si="1"/>
        <v>0.59308505842814452</v>
      </c>
      <c r="K10" s="56">
        <f t="shared" si="2"/>
        <v>0.52145150188852218</v>
      </c>
      <c r="L10" s="56">
        <v>-9.3257015217087922</v>
      </c>
      <c r="M10" s="56"/>
    </row>
    <row r="11" spans="1:13">
      <c r="A11" t="s">
        <v>43</v>
      </c>
      <c r="B11">
        <v>2021</v>
      </c>
      <c r="C11" s="56">
        <v>99.21450151057401</v>
      </c>
      <c r="D11" s="57">
        <f t="shared" si="3"/>
        <v>-0.41939331780026312</v>
      </c>
      <c r="E11" s="56">
        <v>94.0785498489426</v>
      </c>
      <c r="F11" s="57">
        <f t="shared" si="4"/>
        <v>-0.30117314709460663</v>
      </c>
      <c r="G11" s="56">
        <v>165.5</v>
      </c>
      <c r="H11">
        <v>83.72</v>
      </c>
      <c r="I11" s="56">
        <f t="shared" si="0"/>
        <v>0.53133340618988667</v>
      </c>
      <c r="J11" s="56">
        <f t="shared" si="1"/>
        <v>0.59308505842814452</v>
      </c>
      <c r="K11" s="56">
        <f t="shared" si="2"/>
        <v>0.52145150188852218</v>
      </c>
      <c r="L11" s="56">
        <v>-6.9084408121568073</v>
      </c>
      <c r="M11" s="56"/>
    </row>
    <row r="12" spans="1:13">
      <c r="A12" t="s">
        <v>45</v>
      </c>
      <c r="B12">
        <v>2021</v>
      </c>
      <c r="C12" s="56">
        <v>98.32033593281345</v>
      </c>
      <c r="D12" s="57">
        <f t="shared" si="3"/>
        <v>-0.90124484238351266</v>
      </c>
      <c r="E12" s="56">
        <v>92.861427714457122</v>
      </c>
      <c r="F12" s="57">
        <f t="shared" si="4"/>
        <v>-1.293729693367673</v>
      </c>
      <c r="G12" s="56">
        <v>166.7</v>
      </c>
      <c r="H12">
        <v>69.23</v>
      </c>
      <c r="I12" s="56">
        <f t="shared" si="0"/>
        <v>0.53133340618988667</v>
      </c>
      <c r="J12" s="56">
        <f t="shared" si="1"/>
        <v>0.59308505842814452</v>
      </c>
      <c r="K12" s="56">
        <f t="shared" si="2"/>
        <v>0.52145150188852218</v>
      </c>
      <c r="L12" s="56">
        <v>17.307692307692303</v>
      </c>
      <c r="M12" s="56"/>
    </row>
    <row r="13" spans="1:13">
      <c r="A13" t="s">
        <v>46</v>
      </c>
      <c r="B13">
        <v>2021</v>
      </c>
      <c r="C13" s="56">
        <v>98.736462093862826</v>
      </c>
      <c r="D13" s="57">
        <f t="shared" si="3"/>
        <v>0.42323508875491817</v>
      </c>
      <c r="E13" s="56">
        <v>93.682310469314075</v>
      </c>
      <c r="F13" s="57">
        <f t="shared" si="4"/>
        <v>0.88398679092153776</v>
      </c>
      <c r="G13" s="56">
        <v>166.2</v>
      </c>
      <c r="H13">
        <v>77.349999999999994</v>
      </c>
      <c r="I13" s="56">
        <f t="shared" si="0"/>
        <v>0.53133340618988667</v>
      </c>
      <c r="J13" s="56">
        <f t="shared" si="1"/>
        <v>0.59308505842814452</v>
      </c>
      <c r="K13" s="56">
        <f t="shared" si="2"/>
        <v>0.52145150188852218</v>
      </c>
      <c r="L13" s="56">
        <v>-11.729019211324555</v>
      </c>
      <c r="M13" s="56"/>
    </row>
    <row r="14" spans="1:13">
      <c r="A14" t="s">
        <v>31</v>
      </c>
      <c r="B14">
        <v>2022</v>
      </c>
      <c r="C14" s="56">
        <v>99.094749547374775</v>
      </c>
      <c r="D14" s="57">
        <f t="shared" si="3"/>
        <v>0.36287248490972496</v>
      </c>
      <c r="E14" s="56">
        <v>94.447797223898618</v>
      </c>
      <c r="F14" s="57">
        <f t="shared" si="4"/>
        <v>0.81710917541394423</v>
      </c>
      <c r="G14" s="56">
        <v>165.7</v>
      </c>
      <c r="H14">
        <v>89.26</v>
      </c>
      <c r="I14" s="56">
        <f t="shared" si="0"/>
        <v>0.53133340618988667</v>
      </c>
      <c r="J14" s="56">
        <f t="shared" si="1"/>
        <v>0.59308505842814452</v>
      </c>
      <c r="K14" s="56">
        <f t="shared" si="2"/>
        <v>0.52145150188852218</v>
      </c>
      <c r="L14" s="56">
        <v>-15.397543632837765</v>
      </c>
      <c r="M14" s="56"/>
    </row>
    <row r="15" spans="1:13">
      <c r="A15" t="s">
        <v>35</v>
      </c>
      <c r="B15">
        <v>2022</v>
      </c>
      <c r="C15" s="56">
        <v>99.759181216134849</v>
      </c>
      <c r="D15" s="57">
        <f t="shared" si="3"/>
        <v>0.67050138558796701</v>
      </c>
      <c r="E15" s="56">
        <v>94.461167971101759</v>
      </c>
      <c r="F15" s="57">
        <f t="shared" si="4"/>
        <v>1.4156759179299403E-2</v>
      </c>
      <c r="G15" s="56">
        <v>166.1</v>
      </c>
      <c r="H15">
        <v>97.97</v>
      </c>
      <c r="I15" s="56">
        <f t="shared" si="0"/>
        <v>0.53133340618988667</v>
      </c>
      <c r="J15" s="56">
        <f t="shared" si="1"/>
        <v>0.59308505842814452</v>
      </c>
      <c r="K15" s="56">
        <f t="shared" si="2"/>
        <v>0.52145150188852218</v>
      </c>
      <c r="L15" s="56">
        <v>-9.7580103069683997</v>
      </c>
      <c r="M15" s="56"/>
    </row>
    <row r="16" spans="1:13">
      <c r="A16" t="s">
        <v>36</v>
      </c>
      <c r="B16">
        <v>2022</v>
      </c>
      <c r="C16" s="56">
        <v>99.701848539057849</v>
      </c>
      <c r="D16" s="57">
        <f t="shared" si="3"/>
        <v>-5.7471078228663972E-2</v>
      </c>
      <c r="E16" s="56">
        <v>94.156231365533699</v>
      </c>
      <c r="F16" s="57">
        <f t="shared" si="4"/>
        <v>-0.32281689091685561</v>
      </c>
      <c r="G16" s="56">
        <v>167.7</v>
      </c>
      <c r="H16">
        <v>104.71</v>
      </c>
      <c r="I16" s="56">
        <f t="shared" si="0"/>
        <v>0.53133340618988667</v>
      </c>
      <c r="J16" s="56">
        <f t="shared" si="1"/>
        <v>0.59308505842814452</v>
      </c>
      <c r="K16" s="56">
        <f t="shared" si="2"/>
        <v>0.52145150188852218</v>
      </c>
      <c r="L16" s="56">
        <v>-6.8796570378687303</v>
      </c>
      <c r="M16" s="56"/>
    </row>
    <row r="17" spans="1:13">
      <c r="A17" t="s">
        <v>37</v>
      </c>
      <c r="B17">
        <v>2022</v>
      </c>
      <c r="C17" s="56">
        <v>101.23456790123457</v>
      </c>
      <c r="D17" s="57">
        <f t="shared" si="3"/>
        <v>1.537302853092321</v>
      </c>
      <c r="E17" s="56">
        <v>95.590828924162253</v>
      </c>
      <c r="F17" s="57">
        <f t="shared" si="4"/>
        <v>1.5236352791767471</v>
      </c>
      <c r="G17" s="56">
        <v>170.1</v>
      </c>
      <c r="H17">
        <v>107.14</v>
      </c>
      <c r="I17" s="56">
        <f t="shared" si="0"/>
        <v>0.53133340618988667</v>
      </c>
      <c r="J17" s="56">
        <f t="shared" si="1"/>
        <v>0.59308505842814452</v>
      </c>
      <c r="K17" s="56">
        <f t="shared" si="2"/>
        <v>0.52145150188852218</v>
      </c>
      <c r="L17" s="56">
        <v>-2.3206952535574512</v>
      </c>
      <c r="M17" s="56"/>
    </row>
    <row r="18" spans="1:13">
      <c r="A18" t="s">
        <v>38</v>
      </c>
      <c r="B18">
        <v>2022</v>
      </c>
      <c r="C18" s="56">
        <v>101.68899242865463</v>
      </c>
      <c r="D18" s="57">
        <f t="shared" si="3"/>
        <v>0.44888276489054624</v>
      </c>
      <c r="E18" s="56">
        <v>94.933022714036113</v>
      </c>
      <c r="F18" s="57">
        <f t="shared" si="4"/>
        <v>-0.68814782498435634</v>
      </c>
      <c r="G18" s="56">
        <v>171.7</v>
      </c>
      <c r="H18">
        <v>115.6</v>
      </c>
      <c r="I18" s="56">
        <f t="shared" si="0"/>
        <v>0.53133340618988667</v>
      </c>
      <c r="J18" s="56">
        <f t="shared" si="1"/>
        <v>0.59308505842814452</v>
      </c>
      <c r="K18" s="56">
        <f t="shared" si="2"/>
        <v>0.52145150188852218</v>
      </c>
      <c r="L18" s="56">
        <v>-7.8962105656150774</v>
      </c>
      <c r="M18" s="56"/>
    </row>
    <row r="19" spans="1:13">
      <c r="A19" t="s">
        <v>39</v>
      </c>
      <c r="B19">
        <v>2022</v>
      </c>
      <c r="C19" s="56">
        <v>101.96987253765933</v>
      </c>
      <c r="D19" s="57">
        <f t="shared" si="3"/>
        <v>0.27621486091699149</v>
      </c>
      <c r="E19" s="56">
        <v>93.337195828505216</v>
      </c>
      <c r="F19" s="57">
        <f t="shared" si="4"/>
        <v>-1.6810029217524849</v>
      </c>
      <c r="G19" s="56">
        <v>172.6</v>
      </c>
      <c r="H19">
        <v>109.03</v>
      </c>
      <c r="I19" s="56">
        <f t="shared" si="0"/>
        <v>0.53133340618988667</v>
      </c>
      <c r="J19" s="56">
        <f t="shared" si="1"/>
        <v>0.59308505842814452</v>
      </c>
      <c r="K19" s="56">
        <f t="shared" si="2"/>
        <v>0.52145150188852218</v>
      </c>
      <c r="L19" s="56">
        <v>5.6833910034602013</v>
      </c>
      <c r="M19" s="56"/>
    </row>
    <row r="20" spans="1:13">
      <c r="A20" t="s">
        <v>40</v>
      </c>
      <c r="B20">
        <v>2022</v>
      </c>
      <c r="C20" s="56">
        <v>103.57554786620531</v>
      </c>
      <c r="D20" s="57">
        <f t="shared" si="3"/>
        <v>1.5746566006081646</v>
      </c>
      <c r="E20" s="56">
        <v>93.194925028835058</v>
      </c>
      <c r="F20" s="57">
        <f t="shared" si="4"/>
        <v>-0.1524266916391632</v>
      </c>
      <c r="G20" s="56">
        <v>173.4</v>
      </c>
      <c r="H20">
        <v>103.97</v>
      </c>
      <c r="I20" s="56">
        <f t="shared" si="0"/>
        <v>0.53133340618988667</v>
      </c>
      <c r="J20" s="56">
        <f t="shared" si="1"/>
        <v>0.59308505842814452</v>
      </c>
      <c r="K20" s="56">
        <f t="shared" si="2"/>
        <v>0.52145150188852218</v>
      </c>
      <c r="L20" s="56">
        <v>4.6409245161882069</v>
      </c>
      <c r="M20" s="56"/>
    </row>
    <row r="21" spans="1:13">
      <c r="A21" t="s">
        <v>41</v>
      </c>
      <c r="B21">
        <v>2022</v>
      </c>
      <c r="C21" s="56">
        <v>102.58175559380378</v>
      </c>
      <c r="D21" s="57">
        <f t="shared" si="3"/>
        <v>-0.95948541221840855</v>
      </c>
      <c r="E21" s="56">
        <v>92.885829030407336</v>
      </c>
      <c r="F21" s="57">
        <f t="shared" si="4"/>
        <v>-0.33166612702578585</v>
      </c>
      <c r="G21" s="56">
        <v>174.3</v>
      </c>
      <c r="H21">
        <v>95.64</v>
      </c>
      <c r="I21" s="56">
        <f t="shared" si="0"/>
        <v>0.53133340618988667</v>
      </c>
      <c r="J21" s="56">
        <f t="shared" si="1"/>
        <v>0.59308505842814452</v>
      </c>
      <c r="K21" s="56">
        <f t="shared" si="2"/>
        <v>0.52145150188852218</v>
      </c>
      <c r="L21" s="56">
        <v>8.0119265172645928</v>
      </c>
      <c r="M21" s="56"/>
    </row>
    <row r="22" spans="1:13">
      <c r="A22" t="s">
        <v>42</v>
      </c>
      <c r="B22">
        <v>2022</v>
      </c>
      <c r="C22" s="56">
        <v>102.39589275527665</v>
      </c>
      <c r="D22" s="57">
        <f t="shared" si="3"/>
        <v>-0.18118508252392929</v>
      </c>
      <c r="E22" s="56">
        <v>92.584141471762692</v>
      </c>
      <c r="F22" s="57">
        <f t="shared" si="4"/>
        <v>-0.32479395597134997</v>
      </c>
      <c r="G22" s="56">
        <v>175.3</v>
      </c>
      <c r="H22">
        <v>85.14</v>
      </c>
      <c r="I22" s="56">
        <f t="shared" si="0"/>
        <v>0.53133340618988667</v>
      </c>
      <c r="J22" s="56">
        <f t="shared" si="1"/>
        <v>0.59308505842814452</v>
      </c>
      <c r="K22" s="56">
        <f t="shared" si="2"/>
        <v>0.52145150188852218</v>
      </c>
      <c r="L22" s="56">
        <v>10.978670012547051</v>
      </c>
      <c r="M22" s="56"/>
    </row>
    <row r="23" spans="1:13">
      <c r="A23" t="s">
        <v>43</v>
      </c>
      <c r="B23">
        <v>2022</v>
      </c>
      <c r="C23" s="56">
        <v>102.15053763440861</v>
      </c>
      <c r="D23" s="57">
        <f t="shared" si="3"/>
        <v>-0.23961422110399766</v>
      </c>
      <c r="E23" s="56">
        <v>92.190152801358238</v>
      </c>
      <c r="F23" s="57">
        <f t="shared" si="4"/>
        <v>-0.42554660457116933</v>
      </c>
      <c r="G23" s="56">
        <v>176.7</v>
      </c>
      <c r="H23">
        <v>92.81</v>
      </c>
      <c r="I23" s="56">
        <f t="shared" si="0"/>
        <v>0.53133340618988667</v>
      </c>
      <c r="J23" s="56">
        <f t="shared" si="1"/>
        <v>0.59308505842814452</v>
      </c>
      <c r="K23" s="56">
        <f t="shared" si="2"/>
        <v>0.52145150188852218</v>
      </c>
      <c r="L23" s="56">
        <v>-9.0086915668311036</v>
      </c>
      <c r="M23" s="56"/>
    </row>
    <row r="24" spans="1:13">
      <c r="A24" t="s">
        <v>45</v>
      </c>
      <c r="B24">
        <v>2022</v>
      </c>
      <c r="C24" s="56">
        <v>102.71954674220964</v>
      </c>
      <c r="D24" s="57">
        <f t="shared" si="3"/>
        <v>0.55702996868943611</v>
      </c>
      <c r="E24" s="56">
        <v>92.351274787535402</v>
      </c>
      <c r="F24" s="57">
        <f t="shared" si="4"/>
        <v>0.17477136253839753</v>
      </c>
      <c r="G24" s="56">
        <v>176.5</v>
      </c>
      <c r="H24">
        <v>86.97</v>
      </c>
      <c r="I24" s="56">
        <f t="shared" si="0"/>
        <v>0.53133340618988667</v>
      </c>
      <c r="J24" s="56">
        <f t="shared" si="1"/>
        <v>0.59308505842814452</v>
      </c>
      <c r="K24" s="56">
        <f t="shared" si="2"/>
        <v>0.52145150188852218</v>
      </c>
      <c r="L24" s="56">
        <v>6.292425385195564</v>
      </c>
      <c r="M24" s="56"/>
    </row>
    <row r="25" spans="1:13">
      <c r="A25" t="s">
        <v>46</v>
      </c>
      <c r="B25">
        <v>2022</v>
      </c>
      <c r="C25" s="56">
        <v>103.58565737051792</v>
      </c>
      <c r="D25" s="57">
        <f t="shared" si="3"/>
        <v>0.84317995530287326</v>
      </c>
      <c r="E25" s="56">
        <v>92.99943084803644</v>
      </c>
      <c r="F25" s="57">
        <f t="shared" si="4"/>
        <v>0.70183769741369995</v>
      </c>
      <c r="G25" s="56">
        <v>175.7</v>
      </c>
      <c r="H25">
        <v>85.65</v>
      </c>
      <c r="I25" s="56">
        <f t="shared" si="0"/>
        <v>0.53133340618988667</v>
      </c>
      <c r="J25" s="56">
        <f t="shared" si="1"/>
        <v>0.59308505842814452</v>
      </c>
      <c r="K25" s="56">
        <f t="shared" si="2"/>
        <v>0.52145150188852218</v>
      </c>
      <c r="L25" s="56">
        <v>1.51776474646429</v>
      </c>
      <c r="M25" s="56"/>
    </row>
    <row r="26" spans="1:13">
      <c r="A26" t="s">
        <v>31</v>
      </c>
      <c r="B26">
        <v>2023</v>
      </c>
      <c r="C26" s="56">
        <v>103.11614730878188</v>
      </c>
      <c r="D26" s="57">
        <f t="shared" si="3"/>
        <v>-0.45325779036825908</v>
      </c>
      <c r="E26" s="56">
        <v>92.691218130311611</v>
      </c>
      <c r="F26" s="57">
        <f t="shared" si="4"/>
        <v>-0.33141355265760281</v>
      </c>
      <c r="G26" s="56">
        <v>176.5</v>
      </c>
      <c r="H26">
        <v>85.46</v>
      </c>
      <c r="I26" s="56">
        <f t="shared" si="0"/>
        <v>0.53133340618988667</v>
      </c>
      <c r="J26" s="56">
        <f t="shared" si="1"/>
        <v>0.59308505842814452</v>
      </c>
      <c r="K26" s="56">
        <f t="shared" si="2"/>
        <v>0.52145150188852218</v>
      </c>
      <c r="L26" s="56">
        <v>0.22183304144776642</v>
      </c>
      <c r="M26" s="56"/>
    </row>
    <row r="27" spans="1:13">
      <c r="A27" t="s">
        <v>35</v>
      </c>
      <c r="B27">
        <v>2023</v>
      </c>
      <c r="C27" s="56">
        <v>102.76523702031604</v>
      </c>
      <c r="D27" s="57">
        <f t="shared" si="3"/>
        <v>-0.34030585667154301</v>
      </c>
      <c r="E27" s="56">
        <v>92.663656884875849</v>
      </c>
      <c r="F27" s="57">
        <f t="shared" si="4"/>
        <v>-2.9734473223790518E-2</v>
      </c>
      <c r="G27" s="56">
        <v>177.2</v>
      </c>
      <c r="H27">
        <v>83.45</v>
      </c>
      <c r="I27" s="56">
        <f t="shared" si="0"/>
        <v>0.53133340618988667</v>
      </c>
      <c r="J27" s="56">
        <f t="shared" si="1"/>
        <v>0.59308505842814452</v>
      </c>
      <c r="K27" s="56">
        <f t="shared" si="2"/>
        <v>0.52145150188852218</v>
      </c>
      <c r="L27" s="56">
        <v>2.3519775333489248</v>
      </c>
      <c r="M27" s="56"/>
    </row>
    <row r="28" spans="1:13">
      <c r="A28" t="s">
        <v>36</v>
      </c>
      <c r="B28">
        <v>2023</v>
      </c>
      <c r="C28" s="56">
        <v>102.65237020316027</v>
      </c>
      <c r="D28" s="57">
        <f t="shared" si="3"/>
        <v>-0.1098297638660134</v>
      </c>
      <c r="E28" s="56">
        <v>92.663656884875849</v>
      </c>
      <c r="F28" s="57">
        <f t="shared" si="4"/>
        <v>0</v>
      </c>
      <c r="G28" s="56">
        <v>177.2</v>
      </c>
      <c r="H28">
        <v>79.89</v>
      </c>
      <c r="I28" s="56">
        <f t="shared" si="0"/>
        <v>0.53133340618988667</v>
      </c>
      <c r="J28" s="56">
        <f t="shared" si="1"/>
        <v>0.59308505842814452</v>
      </c>
      <c r="K28" s="56">
        <f t="shared" si="2"/>
        <v>0.52145150188852218</v>
      </c>
      <c r="L28" s="56">
        <v>4.2660275614140231</v>
      </c>
      <c r="M28" s="56"/>
    </row>
    <row r="29" spans="1:13">
      <c r="A29" t="s">
        <v>37</v>
      </c>
      <c r="B29">
        <v>2023</v>
      </c>
      <c r="C29" s="56">
        <v>102.02133632790566</v>
      </c>
      <c r="D29" s="57">
        <f t="shared" si="3"/>
        <v>-0.61472898677909804</v>
      </c>
      <c r="E29" s="56">
        <v>92.363840539023016</v>
      </c>
      <c r="F29" s="57">
        <f t="shared" si="4"/>
        <v>-0.32355332816761212</v>
      </c>
      <c r="G29" s="56">
        <v>178.1</v>
      </c>
      <c r="H29">
        <v>80.33</v>
      </c>
      <c r="I29" s="56">
        <f t="shared" si="0"/>
        <v>0.53133340618988667</v>
      </c>
      <c r="J29" s="56">
        <f t="shared" si="1"/>
        <v>0.59308505842814452</v>
      </c>
      <c r="K29" s="56">
        <f t="shared" si="2"/>
        <v>0.52145150188852218</v>
      </c>
      <c r="L29" s="56">
        <v>-0.55075729127550099</v>
      </c>
      <c r="M29" s="56"/>
    </row>
    <row r="30" spans="1:13">
      <c r="A30" t="s">
        <v>38</v>
      </c>
      <c r="B30">
        <v>2023</v>
      </c>
      <c r="C30" s="56">
        <v>102.06588498045785</v>
      </c>
      <c r="D30" s="57">
        <f t="shared" si="3"/>
        <v>4.3666015517588377E-2</v>
      </c>
      <c r="E30" s="56">
        <v>92.015633724176453</v>
      </c>
      <c r="F30" s="57">
        <f t="shared" si="4"/>
        <v>-0.37699473388554927</v>
      </c>
      <c r="G30" s="56">
        <v>179.1</v>
      </c>
      <c r="H30">
        <v>72.599999999999994</v>
      </c>
      <c r="I30" s="56">
        <f t="shared" si="0"/>
        <v>0.53133340618988667</v>
      </c>
      <c r="J30" s="56">
        <f t="shared" si="1"/>
        <v>0.59308505842814452</v>
      </c>
      <c r="K30" s="56">
        <f t="shared" si="2"/>
        <v>0.52145150188852218</v>
      </c>
      <c r="L30" s="56">
        <v>9.6228059255570813</v>
      </c>
      <c r="M30" s="5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E1B4-30E5-4A17-9917-AF2C7BD01614}">
  <dimension ref="A1:W91"/>
  <sheetViews>
    <sheetView tabSelected="1" topLeftCell="A4" zoomScale="115" zoomScaleNormal="115" workbookViewId="0">
      <selection activeCell="AA11" sqref="AA11"/>
    </sheetView>
  </sheetViews>
  <sheetFormatPr defaultRowHeight="14.4"/>
  <cols>
    <col min="23" max="23" width="5" customWidth="1"/>
  </cols>
  <sheetData>
    <row r="1" spans="1:23">
      <c r="A1" s="73" t="s">
        <v>122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 ht="1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18" spans="1:23" ht="0.6" customHeight="1"/>
    <row r="19" spans="1:23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</row>
    <row r="20" spans="1:23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</row>
    <row r="37" spans="1:23">
      <c r="A37" s="72" t="s">
        <v>60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</row>
    <row r="38" spans="1:23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</row>
    <row r="54" spans="1:23">
      <c r="A54" s="72" t="s">
        <v>62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</row>
    <row r="55" spans="1:23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</row>
    <row r="72" spans="1:23">
      <c r="A72" s="74" t="s">
        <v>75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</row>
    <row r="73" spans="1:2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</row>
    <row r="74" spans="1:23" ht="15.6">
      <c r="A74" s="55"/>
    </row>
    <row r="90" spans="1:23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</row>
    <row r="91" spans="1:23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</row>
  </sheetData>
  <mergeCells count="6">
    <mergeCell ref="A90:W91"/>
    <mergeCell ref="A19:W20"/>
    <mergeCell ref="A37:W38"/>
    <mergeCell ref="A1:W2"/>
    <mergeCell ref="A54:W55"/>
    <mergeCell ref="A72:W7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5664-4F7F-41A8-8511-14D7F4739FC0}">
  <dimension ref="A2:AD371"/>
  <sheetViews>
    <sheetView workbookViewId="0">
      <selection activeCell="E16" sqref="E16"/>
    </sheetView>
  </sheetViews>
  <sheetFormatPr defaultRowHeight="14.4"/>
  <cols>
    <col min="1" max="1" width="11.109375" bestFit="1" customWidth="1"/>
    <col min="2" max="2" width="6.88671875" bestFit="1" customWidth="1"/>
    <col min="3" max="3" width="9.77734375" bestFit="1" customWidth="1"/>
    <col min="4" max="4" width="21" bestFit="1" customWidth="1"/>
    <col min="5" max="5" width="14.109375" bestFit="1" customWidth="1"/>
    <col min="6" max="6" width="6" bestFit="1" customWidth="1"/>
    <col min="7" max="7" width="18.109375" bestFit="1" customWidth="1"/>
    <col min="8" max="8" width="13.44140625" bestFit="1" customWidth="1"/>
    <col min="9" max="9" width="8" bestFit="1" customWidth="1"/>
    <col min="10" max="10" width="12.44140625" bestFit="1" customWidth="1"/>
    <col min="11" max="11" width="20.109375" bestFit="1" customWidth="1"/>
    <col min="12" max="12" width="23.5546875" bestFit="1" customWidth="1"/>
    <col min="14" max="14" width="24" bestFit="1" customWidth="1"/>
    <col min="15" max="15" width="33.77734375" bestFit="1" customWidth="1"/>
    <col min="16" max="16" width="19.77734375" bestFit="1" customWidth="1"/>
    <col min="17" max="17" width="27.33203125" bestFit="1" customWidth="1"/>
    <col min="18" max="18" width="10.109375" bestFit="1" customWidth="1"/>
    <col min="19" max="19" width="10.88671875" bestFit="1" customWidth="1"/>
    <col min="20" max="20" width="21.33203125" bestFit="1" customWidth="1"/>
    <col min="21" max="21" width="9.88671875" bestFit="1" customWidth="1"/>
    <col min="22" max="22" width="14.21875" bestFit="1" customWidth="1"/>
    <col min="23" max="23" width="28.44140625" bestFit="1" customWidth="1"/>
    <col min="24" max="24" width="8.77734375" bestFit="1" customWidth="1"/>
    <col min="25" max="25" width="28.44140625" bestFit="1" customWidth="1"/>
    <col min="26" max="26" width="26.21875" bestFit="1" customWidth="1"/>
    <col min="27" max="27" width="11.5546875" bestFit="1" customWidth="1"/>
    <col min="28" max="28" width="24.21875" bestFit="1" customWidth="1"/>
    <col min="29" max="29" width="15.109375" bestFit="1" customWidth="1"/>
    <col min="30" max="30" width="14.6640625" bestFit="1" customWidth="1"/>
    <col min="31" max="31" width="7.33203125" bestFit="1" customWidth="1"/>
  </cols>
  <sheetData>
    <row r="2" spans="1:30">
      <c r="U2" s="1"/>
    </row>
    <row r="4" spans="1:30" s="2" customForma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</row>
    <row r="5" spans="1:30">
      <c r="A5" t="s">
        <v>30</v>
      </c>
      <c r="B5">
        <v>2020</v>
      </c>
      <c r="C5" t="s">
        <v>37</v>
      </c>
      <c r="D5">
        <v>147.19999999999999</v>
      </c>
      <c r="E5" t="s">
        <v>32</v>
      </c>
      <c r="F5">
        <v>146.9</v>
      </c>
      <c r="G5">
        <v>155.6</v>
      </c>
      <c r="H5">
        <v>137.1</v>
      </c>
      <c r="I5">
        <v>147.30000000000001</v>
      </c>
      <c r="J5">
        <v>162.69999999999999</v>
      </c>
      <c r="K5">
        <v>150.19999999999999</v>
      </c>
      <c r="L5">
        <v>119.8</v>
      </c>
      <c r="M5">
        <v>158.69999999999999</v>
      </c>
      <c r="N5">
        <v>139.19999999999999</v>
      </c>
      <c r="O5" t="s">
        <v>32</v>
      </c>
      <c r="P5">
        <v>150.1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>
        <v>148.4</v>
      </c>
      <c r="W5" t="s">
        <v>32</v>
      </c>
      <c r="X5">
        <v>154.30000000000001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>
      <c r="A6" t="s">
        <v>33</v>
      </c>
      <c r="B6">
        <v>2020</v>
      </c>
      <c r="C6" t="s">
        <v>37</v>
      </c>
      <c r="D6">
        <v>151.80000000000001</v>
      </c>
      <c r="E6" t="s">
        <v>32</v>
      </c>
      <c r="F6">
        <v>151.9</v>
      </c>
      <c r="G6">
        <v>155.5</v>
      </c>
      <c r="H6">
        <v>131.6</v>
      </c>
      <c r="I6">
        <v>152.9</v>
      </c>
      <c r="J6">
        <v>180</v>
      </c>
      <c r="K6">
        <v>150.80000000000001</v>
      </c>
      <c r="L6">
        <v>121.2</v>
      </c>
      <c r="M6">
        <v>154</v>
      </c>
      <c r="N6">
        <v>133.5</v>
      </c>
      <c r="O6" t="s">
        <v>32</v>
      </c>
      <c r="P6">
        <v>153.5</v>
      </c>
      <c r="Q6" t="s">
        <v>32</v>
      </c>
      <c r="R6" t="s">
        <v>32</v>
      </c>
      <c r="S6" t="s">
        <v>32</v>
      </c>
      <c r="T6" t="s">
        <v>32</v>
      </c>
      <c r="U6">
        <v>155.6</v>
      </c>
      <c r="V6">
        <v>137.1</v>
      </c>
      <c r="W6" t="s">
        <v>32</v>
      </c>
      <c r="X6">
        <v>144.80000000000001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>
      <c r="A7" t="s">
        <v>34</v>
      </c>
      <c r="B7">
        <v>2020</v>
      </c>
      <c r="C7" t="s">
        <v>37</v>
      </c>
      <c r="D7">
        <v>148.69999999999999</v>
      </c>
      <c r="E7" t="s">
        <v>32</v>
      </c>
      <c r="F7">
        <v>148.80000000000001</v>
      </c>
      <c r="G7">
        <v>155.6</v>
      </c>
      <c r="H7">
        <v>135.1</v>
      </c>
      <c r="I7">
        <v>149.9</v>
      </c>
      <c r="J7">
        <v>168.6</v>
      </c>
      <c r="K7">
        <v>150.4</v>
      </c>
      <c r="L7">
        <v>120.3</v>
      </c>
      <c r="M7">
        <v>157.1</v>
      </c>
      <c r="N7">
        <v>136.80000000000001</v>
      </c>
      <c r="O7" t="s">
        <v>32</v>
      </c>
      <c r="P7">
        <v>151.4</v>
      </c>
      <c r="Q7" t="s">
        <v>32</v>
      </c>
      <c r="R7" t="s">
        <v>32</v>
      </c>
      <c r="S7" t="s">
        <v>32</v>
      </c>
      <c r="T7" t="s">
        <v>32</v>
      </c>
      <c r="U7">
        <v>155.6</v>
      </c>
      <c r="V7">
        <v>144.1</v>
      </c>
      <c r="W7" t="s">
        <v>32</v>
      </c>
      <c r="X7">
        <v>150.69999999999999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>
      <c r="A8" t="s">
        <v>30</v>
      </c>
      <c r="B8">
        <v>2020</v>
      </c>
      <c r="C8" t="s">
        <v>38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>
      <c r="A9" t="s">
        <v>33</v>
      </c>
      <c r="B9">
        <v>2020</v>
      </c>
      <c r="C9" t="s">
        <v>38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</row>
    <row r="10" spans="1:30">
      <c r="A10" t="s">
        <v>34</v>
      </c>
      <c r="B10">
        <v>2020</v>
      </c>
      <c r="C10" t="s">
        <v>38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</row>
    <row r="11" spans="1:30">
      <c r="U11" s="1"/>
    </row>
    <row r="14" spans="1:30">
      <c r="U14" s="1"/>
    </row>
    <row r="17" spans="21:21">
      <c r="U17" s="1"/>
    </row>
    <row r="20" spans="21:21">
      <c r="U20" s="1"/>
    </row>
    <row r="23" spans="21:21">
      <c r="U23" s="1"/>
    </row>
    <row r="26" spans="21:21">
      <c r="U26" s="1"/>
    </row>
    <row r="29" spans="21:21">
      <c r="U29" s="1"/>
    </row>
    <row r="32" spans="21:21">
      <c r="U32" s="1"/>
    </row>
    <row r="35" spans="21:21">
      <c r="U35" s="1"/>
    </row>
    <row r="38" spans="21:21">
      <c r="U38" s="1"/>
    </row>
    <row r="41" spans="21:21">
      <c r="U41" s="1"/>
    </row>
    <row r="44" spans="21:21">
      <c r="U44" s="1"/>
    </row>
    <row r="47" spans="21:21">
      <c r="U47" s="1"/>
    </row>
    <row r="50" spans="21:21">
      <c r="U50" s="1"/>
    </row>
    <row r="53" spans="21:21">
      <c r="U53" s="1"/>
    </row>
    <row r="56" spans="21:21">
      <c r="U56" s="1"/>
    </row>
    <row r="59" spans="21:21">
      <c r="U59" s="1"/>
    </row>
    <row r="62" spans="21:21">
      <c r="U62" s="1"/>
    </row>
    <row r="65" spans="21:21">
      <c r="U65" s="1"/>
    </row>
    <row r="68" spans="21:21">
      <c r="U68" s="1"/>
    </row>
    <row r="71" spans="21:21">
      <c r="U71" s="1"/>
    </row>
    <row r="74" spans="21:21">
      <c r="U74" s="1"/>
    </row>
    <row r="77" spans="21:21">
      <c r="U77" s="1"/>
    </row>
    <row r="80" spans="21:21">
      <c r="U80" s="1"/>
    </row>
    <row r="83" spans="21:21">
      <c r="U83" s="1"/>
    </row>
    <row r="86" spans="21:21">
      <c r="U86" s="1"/>
    </row>
    <row r="89" spans="21:21">
      <c r="U89" s="1"/>
    </row>
    <row r="92" spans="21:21">
      <c r="U92" s="1"/>
    </row>
    <row r="95" spans="21:21">
      <c r="U95" s="1"/>
    </row>
    <row r="98" spans="21:21">
      <c r="U98" s="1"/>
    </row>
    <row r="101" spans="21:21">
      <c r="U101" s="1"/>
    </row>
    <row r="104" spans="21:21">
      <c r="U104" s="1"/>
    </row>
    <row r="107" spans="21:21">
      <c r="U107" s="1"/>
    </row>
    <row r="110" spans="21:21">
      <c r="U110" s="1"/>
    </row>
    <row r="113" spans="21:21">
      <c r="U113" s="1"/>
    </row>
    <row r="116" spans="21:21">
      <c r="U116" s="1"/>
    </row>
    <row r="119" spans="21:21">
      <c r="U119" s="1"/>
    </row>
    <row r="122" spans="21:21">
      <c r="U122" s="1"/>
    </row>
    <row r="125" spans="21:21">
      <c r="U125" s="1"/>
    </row>
    <row r="128" spans="21:21">
      <c r="U128" s="1"/>
    </row>
    <row r="131" spans="21:21">
      <c r="U131" s="1"/>
    </row>
    <row r="134" spans="21:21">
      <c r="U134" s="1"/>
    </row>
    <row r="137" spans="21:21">
      <c r="U137" s="1"/>
    </row>
    <row r="140" spans="21:21">
      <c r="U140" s="1"/>
    </row>
    <row r="143" spans="21:21">
      <c r="U143" s="1"/>
    </row>
    <row r="146" spans="21:21">
      <c r="U146" s="1"/>
    </row>
    <row r="149" spans="21:21">
      <c r="U149" s="1"/>
    </row>
    <row r="152" spans="21:21">
      <c r="U152" s="1"/>
    </row>
    <row r="155" spans="21:21">
      <c r="U155" s="1"/>
    </row>
    <row r="158" spans="21:21">
      <c r="U158" s="1"/>
    </row>
    <row r="161" spans="21:21">
      <c r="U161" s="1"/>
    </row>
    <row r="164" spans="21:21">
      <c r="U164" s="1"/>
    </row>
    <row r="167" spans="21:21">
      <c r="U167" s="1"/>
    </row>
    <row r="170" spans="21:21">
      <c r="U170" s="1"/>
    </row>
    <row r="173" spans="21:21">
      <c r="U173" s="1"/>
    </row>
    <row r="176" spans="21:21">
      <c r="U176" s="1"/>
    </row>
    <row r="179" spans="21:21">
      <c r="U179" s="1"/>
    </row>
    <row r="182" spans="21:21">
      <c r="U182" s="1"/>
    </row>
    <row r="185" spans="21:21">
      <c r="U185" s="1"/>
    </row>
    <row r="188" spans="21:21">
      <c r="U188" s="1"/>
    </row>
    <row r="191" spans="21:21">
      <c r="U191" s="1"/>
    </row>
    <row r="194" spans="21:21">
      <c r="U194" s="1"/>
    </row>
    <row r="197" spans="21:21">
      <c r="U197" s="1"/>
    </row>
    <row r="200" spans="21:21">
      <c r="U200" s="1"/>
    </row>
    <row r="203" spans="21:21">
      <c r="U203" s="1"/>
    </row>
    <row r="206" spans="21:21">
      <c r="U206" s="1"/>
    </row>
    <row r="209" spans="21:21">
      <c r="U209" s="1"/>
    </row>
    <row r="212" spans="21:21">
      <c r="U212" s="1"/>
    </row>
    <row r="215" spans="21:21">
      <c r="U215" s="1"/>
    </row>
    <row r="218" spans="21:21">
      <c r="U218" s="1"/>
    </row>
    <row r="221" spans="21:21">
      <c r="U221" s="1"/>
    </row>
    <row r="224" spans="21:21">
      <c r="U224" s="1"/>
    </row>
    <row r="227" spans="21:21">
      <c r="U227" s="1"/>
    </row>
    <row r="230" spans="21:21">
      <c r="U230" s="1"/>
    </row>
    <row r="233" spans="21:21">
      <c r="U233" s="1"/>
    </row>
    <row r="236" spans="21:21">
      <c r="U236" s="1"/>
    </row>
    <row r="239" spans="21:21">
      <c r="U239" s="1"/>
    </row>
    <row r="242" spans="21:21">
      <c r="U242" s="1"/>
    </row>
    <row r="245" spans="21:21">
      <c r="U245" s="1"/>
    </row>
    <row r="248" spans="21:21">
      <c r="U248" s="1"/>
    </row>
    <row r="251" spans="21:21">
      <c r="U251" s="1"/>
    </row>
    <row r="254" spans="21:21">
      <c r="U254" s="1"/>
    </row>
    <row r="257" spans="21:21">
      <c r="U257" s="1"/>
    </row>
    <row r="260" spans="21:21">
      <c r="U260" s="1"/>
    </row>
    <row r="263" spans="21:21">
      <c r="U263" s="1"/>
    </row>
    <row r="264" spans="21:21">
      <c r="U264" s="1"/>
    </row>
    <row r="265" spans="21:21">
      <c r="U265" s="1"/>
    </row>
    <row r="266" spans="21:21">
      <c r="U266" s="1"/>
    </row>
    <row r="269" spans="21:21">
      <c r="U269" s="1"/>
    </row>
    <row r="272" spans="21:21">
      <c r="U272" s="1"/>
    </row>
    <row r="275" spans="21:21">
      <c r="U275" s="1"/>
    </row>
    <row r="278" spans="21:21">
      <c r="U278" s="1"/>
    </row>
    <row r="281" spans="21:21">
      <c r="U281" s="1"/>
    </row>
    <row r="284" spans="21:21">
      <c r="U284" s="1"/>
    </row>
    <row r="287" spans="21:21">
      <c r="U287" s="1"/>
    </row>
    <row r="290" spans="21:21">
      <c r="U290" s="1"/>
    </row>
    <row r="293" spans="21:21">
      <c r="U293" s="1"/>
    </row>
    <row r="296" spans="21:21">
      <c r="U296" s="1"/>
    </row>
    <row r="299" spans="21:21">
      <c r="U299" s="1"/>
    </row>
    <row r="302" spans="21:21">
      <c r="U302" s="1"/>
    </row>
    <row r="305" spans="21:21">
      <c r="U305" s="1"/>
    </row>
    <row r="308" spans="21:21">
      <c r="U308" s="1"/>
    </row>
    <row r="311" spans="21:21">
      <c r="U311" s="1"/>
    </row>
    <row r="314" spans="21:21">
      <c r="U314" s="1"/>
    </row>
    <row r="317" spans="21:21">
      <c r="U317" s="1"/>
    </row>
    <row r="320" spans="21:21">
      <c r="U320" s="1"/>
    </row>
    <row r="323" spans="21:21">
      <c r="U323" s="1"/>
    </row>
    <row r="326" spans="21:21">
      <c r="U326" s="1"/>
    </row>
    <row r="329" spans="21:21">
      <c r="U329" s="1"/>
    </row>
    <row r="332" spans="21:21">
      <c r="U332" s="1"/>
    </row>
    <row r="335" spans="21:21">
      <c r="U335" s="1"/>
    </row>
    <row r="338" spans="21:21">
      <c r="U338" s="1"/>
    </row>
    <row r="341" spans="21:21">
      <c r="U341" s="1"/>
    </row>
    <row r="344" spans="21:21">
      <c r="U344" s="1"/>
    </row>
    <row r="347" spans="21:21">
      <c r="U347" s="1"/>
    </row>
    <row r="350" spans="21:21">
      <c r="U350" s="1"/>
    </row>
    <row r="353" spans="21:21">
      <c r="U353" s="1"/>
    </row>
    <row r="356" spans="21:21">
      <c r="U356" s="1"/>
    </row>
    <row r="359" spans="21:21">
      <c r="U359" s="1"/>
    </row>
    <row r="362" spans="21:21">
      <c r="U362" s="1"/>
    </row>
    <row r="365" spans="21:21">
      <c r="U365" s="1"/>
    </row>
    <row r="368" spans="21:21">
      <c r="U368" s="1"/>
    </row>
    <row r="371" spans="21:21">
      <c r="U37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A2326-F6EF-4213-A106-5988123ECD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CPI TILL 2023</vt:lpstr>
      <vt:lpstr>Clean_Data</vt:lpstr>
      <vt:lpstr>Analysis</vt:lpstr>
      <vt:lpstr>Inflation</vt:lpstr>
      <vt:lpstr>2022-2023</vt:lpstr>
      <vt:lpstr>COVID-19</vt:lpstr>
      <vt:lpstr>Oil Prize</vt:lpstr>
      <vt:lpstr>Brent Oil Futures Historical Da</vt:lpstr>
      <vt:lpstr>Correl</vt:lpstr>
      <vt:lpstr>Charts</vt:lpstr>
      <vt:lpstr>NA_Values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DIKSHIT SHARMA</dc:creator>
  <cp:lastModifiedBy>DIKSHIT SHARMA</cp:lastModifiedBy>
  <dcterms:created xsi:type="dcterms:W3CDTF">2025-07-29T18:56:24Z</dcterms:created>
  <dcterms:modified xsi:type="dcterms:W3CDTF">2026-02-09T08:23:40Z</dcterms:modified>
</cp:coreProperties>
</file>